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ssumptions" sheetId="2" r:id="rId2"/>
    <sheet name="Profiles" sheetId="3" r:id="rId3"/>
    <sheet name="Company tools" sheetId="4" r:id="rId4"/>
    <sheet name="Insider tools" sheetId="5" r:id="rId5"/>
    <sheet name="Provider evidence" sheetId="6" r:id="rId6"/>
    <sheet name="Costs" sheetId="7" r:id="rId7"/>
    <sheet name="Budget summary" sheetId="8" r:id="rId8"/>
    <sheet name="Sources" sheetId="9" r:id="rId9"/>
  </sheets>
  <definedNames>
    <definedName name="_xlnm._FilterDatabase" localSheetId="3" hidden="1">'Company tools'!$A$1:$Q$56</definedName>
    <definedName name="_xlnm._FilterDatabase" localSheetId="6" hidden="1">Costs!$A$1:$Y$71</definedName>
    <definedName name="_xlnm._FilterDatabase" localSheetId="4" hidden="1">'Insider tools'!$A$1:$Q$16</definedName>
    <definedName name="_xlnm._FilterDatabase" localSheetId="5" hidden="1">'Provider evidence'!$A$1:$K$8</definedName>
    <definedName name="_xlnm._FilterDatabase" localSheetId="8" hidden="1">Sources!$A$1:$D$62</definedName>
    <definedName name="_xlnm.Print_Titles" localSheetId="1">Assumptions!$1:$1</definedName>
    <definedName name="_xlnm.Print_Titles" localSheetId="7">'Budget summary'!$1:$1</definedName>
    <definedName name="_xlnm.Print_Titles" localSheetId="3">'Company tools'!$1:$1</definedName>
    <definedName name="_xlnm.Print_Titles" localSheetId="6">Costs!$1:$1</definedName>
    <definedName name="_xlnm.Print_Titles" localSheetId="4">'Insider tools'!$1:$1</definedName>
    <definedName name="_xlnm.Print_Titles" localSheetId="2">Profiles!$1:$1</definedName>
    <definedName name="_xlnm.Print_Titles" localSheetId="5">'Provider evidence'!$1:$1</definedName>
    <definedName name="_xlnm.Print_Titles" localSheetId="8">Sources!$1:$1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Number of app users; not provider seats.</t>
        </r>
      </text>
    </comment>
    <comment ref="B3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Number of app users; not provider seats.</t>
        </r>
      </text>
    </comment>
    <comment ref="B4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Each lookup calls ONE selected endpoint. A multi-tool page sums those endpoint calls.</t>
        </r>
      </text>
    </comment>
    <comment ref="B5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Budget convention, not the actual exchange/filing calendar.</t>
        </r>
      </text>
    </comment>
    <comment ref="B6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Budget convention.</t>
        </r>
      </text>
    </comment>
    <comment ref="B7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A key identifies one security/company query; not necessarily a unique issuer.</t>
        </r>
      </text>
    </comment>
    <comment ref="B8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Distinct followed keys / sum of watchlist lengths. Sharing requires permission. Minimum is one full watchlist.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US regular-session budget; extended and global sessions require a larger setting.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Proposed polling only; does not establish real-time data.</t>
        </r>
      </text>
    </comment>
    <comment ref="B11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Hourly news monitoring; not 24-hour coverage.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Hourly polling. New items can wait up to a polling interval plus upstream lag.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Illustrative window, not an exact EDGAR schedule; gaps need catch-up.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One page per poll by default; not evidence of complete market coverage.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Hourly company/filing checks in the illustrative workday window.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Daily snapshots. Event-driven caching may reduce traffic.</t>
        </r>
      </text>
    </comment>
    <comment ref="B17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Applies only to demand-only lookups in the regular-feed scenario.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Optional crypto endpoint only, two assets by default.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Venue mappings, not a corporate crypto-holdings or trade feed.</t>
        </r>
      </text>
    </comment>
    <comment ref="B20" authorId="0">
      <text>
        <r>
          <rPr>
            <sz val="8"/>
            <color indexed="81"/>
            <rFont val="Tahoma"/>
            <family val="2"/>
          </rPr>
          <t>Analyst-defined scenario assumption, not vendor performance or entitlement. Illustrative US premarket monitoring window; confirm source session coverage.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3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4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5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6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7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8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11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  <comment ref="D12" authorId="0">
      <text>
        <r>
          <rPr>
            <sz val="8"/>
            <color indexed="81"/>
            <rFont val="Tahoma"/>
            <family val="2"/>
          </rPr>
          <t>Planning cadence only; not proof of freshness, completeness, rate allowance or licensed caching.</t>
        </r>
      </text>
    </comment>
  </commentList>
</comments>
</file>

<file path=xl/comments3.xml><?xml version="1.0" encoding="utf-8"?>
<comments xmlns="http://schemas.openxmlformats.org/spreadsheetml/2006/main">
  <authors>
    <author/>
    <author>Source evidence</author>
  </authors>
  <commentList>
    <comment ref="C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https://api.monid.ai/public/v1/providers/nasdaq/endpoints/get_stock_earnings</t>
        </r>
      </text>
    </comment>
    <comment ref="E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2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https://api.monid.ai/public/v1/providers/nasdaq/endpoints/get_stock_earnings
Endpoint-specific analysis; compare provider evidence and report citations.
</t>
        </r>
      </text>
    </comment>
    <comment ref="M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https://api.monid.ai/public/v1/providers/nasdaq/endpoints/get_stock_screener</t>
        </r>
      </text>
    </comment>
    <comment ref="E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3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https://api.monid.ai/public/v1/providers/nasdaq/endpoints/get_stock_screener
Endpoint-specific analysis; compare provider evidence and report citations.
</t>
        </r>
      </text>
    </comment>
    <comment ref="M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https://api.monid.ai/public/v1/providers/nasdaq/endpoints/get_earnings_calendar</t>
        </r>
      </text>
    </comment>
    <comment ref="E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4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https://api.monid.ai/public/v1/providers/nasdaq/endpoints/get_earnings_calendar
Endpoint-specific analysis; compare provider evidence and report citations.
</t>
        </r>
      </text>
    </comment>
    <comment ref="M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https://api.monid.ai/public/v1/providers/nasdaq/endpoints/get_stock_sec_filings</t>
        </r>
      </text>
    </comment>
    <comment ref="E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5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https://api.monid.ai/public/v1/providers/nasdaq/endpoints/get_stock_sec_filings
Endpoint-specific analysis; compare provider evidence and report citations.
</t>
        </r>
      </text>
    </comment>
    <comment ref="M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https://api.monid.ai/public/v1/providers/nasdaq/endpoints/get_mutual_fund_quote</t>
        </r>
      </text>
    </comment>
    <comment ref="E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6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https://api.monid.ai/public/v1/providers/nasdaq/endpoints/get_mutual_fund_quote
Endpoint-specific analysis; compare provider evidence and report citations.
</t>
        </r>
      </text>
    </comment>
    <comment ref="M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7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https://api.monid.ai/public/v1/providers/nasdaq/endpoints/get_stock_dividend_history</t>
        </r>
      </text>
    </comment>
    <comment ref="E7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7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https://api.monid.ai/public/v1/providers/nasdaq/endpoints/get_stock_dividend_history
Endpoint-specific analysis; compare provider evidence and report citations.
</t>
        </r>
      </text>
    </comment>
    <comment ref="M7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8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https://api.monid.ai/public/v1/providers/nasdaq/endpoints/get_stock_quote</t>
        </r>
      </text>
    </comment>
    <comment ref="E8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8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https://api.monid.ai/public/v1/providers/nasdaq/endpoints/get_stock_quote
Endpoint-specific analysis; compare provider evidence and report citations.
</t>
        </r>
      </text>
    </comment>
    <comment ref="M8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9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https://api.monid.ai/public/v1/providers/nasdaq/endpoints/search_symbols</t>
        </r>
      </text>
    </comment>
    <comment ref="E9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9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https://api.monid.ai/public/v1/providers/nasdaq/endpoints/search_symbols
Endpoint-specific analysis; compare provider evidence and report citations.
</t>
        </r>
      </text>
    </comment>
    <comment ref="M9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0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https://api.monid.ai/public/v1/providers/nasdaq/endpoints/get_market_indices</t>
        </r>
      </text>
    </comment>
    <comment ref="E10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0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https://api.monid.ai/public/v1/providers/nasdaq/endpoints/get_market_indices
Endpoint-specific analysis; compare provider evidence and report citations.
</t>
        </r>
      </text>
    </comment>
    <comment ref="M10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1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https://api.monid.ai/public/v1/providers/nasdaq/endpoints/get_stock_historical_quotes</t>
        </r>
      </text>
    </comment>
    <comment ref="E11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1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https://api.monid.ai/public/v1/providers/nasdaq/endpoints/get_stock_historical_quotes
Endpoint-specific analysis; compare provider evidence and report citations.
</t>
        </r>
      </text>
    </comment>
    <comment ref="M11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https://api.monid.ai/public/v1/providers/nasdaq/endpoints/get_market_movers</t>
        </r>
      </text>
    </comment>
    <comment ref="E1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2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https://api.monid.ai/public/v1/providers/nasdaq/endpoints/get_market_movers
Endpoint-specific analysis; compare provider evidence and report citations.
</t>
        </r>
      </text>
    </comment>
    <comment ref="M1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https://api.monid.ai/public/v1/providers/nasdaq/endpoints/get_etf_quote</t>
        </r>
      </text>
    </comment>
    <comment ref="E1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3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https://api.monid.ai/public/v1/providers/nasdaq/endpoints/get_etf_quote
Endpoint-specific analysis; compare provider evidence and report citations.
</t>
        </r>
      </text>
    </comment>
    <comment ref="M1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https://api.monid.ai/public/v1/providers/nasdaq/endpoints/get_cryptocurrency_quote</t>
        </r>
      </text>
    </comment>
    <comment ref="E1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4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https://api.monid.ai/public/v1/providers/nasdaq/endpoints/get_cryptocurrency_quote
Endpoint-specific analysis; compare provider evidence and report citations.
</t>
        </r>
      </text>
    </comment>
    <comment ref="M1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https://api.monid.ai/public/v1/providers/nasdaq/endpoints/get_stock_news</t>
        </r>
      </text>
    </comment>
    <comment ref="E1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5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https://api.monid.ai/public/v1/providers/nasdaq/endpoints/get_stock_news
Endpoint-specific analysis; compare provider evidence and report citations.
</t>
        </r>
      </text>
    </comment>
    <comment ref="M1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https://api.monid.ai/public/v1/providers/nasdaq/endpoints/get_stock_financials</t>
        </r>
      </text>
    </comment>
    <comment ref="E1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6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https://api.monid.ai/public/v1/providers/nasdaq/endpoints/get_stock_financials
Endpoint-specific analysis; compare provider evidence and report citations.
</t>
        </r>
      </text>
    </comment>
    <comment ref="M1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7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https://api.monid.ai/public/v1/providers/nasdaq/endpoints/get_index_detail</t>
        </r>
      </text>
    </comment>
    <comment ref="E17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7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https://api.monid.ai/public/v1/providers/nasdaq/endpoints/get_index_detail
Endpoint-specific analysis; compare provider evidence and report citations.
</t>
        </r>
      </text>
    </comment>
    <comment ref="M17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8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https://api.monid.ai/public/v1/providers/nasdaq/endpoints/get_stock_short_interest</t>
        </r>
      </text>
    </comment>
    <comment ref="E18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8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https://api.monid.ai/public/v1/providers/nasdaq/endpoints/get_stock_short_interest
Endpoint-specific analysis; compare provider evidence and report citations.
</t>
        </r>
      </text>
    </comment>
    <comment ref="M18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19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https://api.monid.ai/public/v1/providers/nasdaq/endpoints/get_stock_option_chain</t>
        </r>
      </text>
    </comment>
    <comment ref="E19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19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https://api.monid.ai/public/v1/providers/nasdaq/endpoints/get_stock_option_chain
Endpoint-specific analysis; compare provider evidence and report citations.
</t>
        </r>
      </text>
    </comment>
    <comment ref="M19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20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https://api.monid.ai/public/v1/providers/nasdaq/endpoints/get_retail_trading_activity</t>
        </r>
      </text>
    </comment>
    <comment ref="E20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20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https://api.monid.ai/public/v1/providers/nasdaq/endpoints/get_retail_trading_activity
Endpoint-specific analysis; compare provider evidence and report citations.
</t>
        </r>
      </text>
    </comment>
    <comment ref="M20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21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https://api.monid.ai/public/v1/providers/yahoo-finance/endpoints/get_historical_data</t>
        </r>
      </text>
    </comment>
    <comment ref="E21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https://help.yahoo.com/kb/finance/SLN2310.html
https://legal.yahoo.com/us/en/yahoo/terms/product-atos/finance/index.html</t>
        </r>
      </text>
    </comment>
    <comment ref="K21" authorId="1">
      <text>
        <r>
          <rPr>
            <sz val="8"/>
            <color indexed="81"/>
            <rFont val="Tahoma"/>
            <family val="2"/>
          </rPr>
          <t xml:space="preserve">https://api.monid.ai/public/v1/providers/yahoo-finance/endpoints/get_historical_data
Endpoint-specific analysis; compare provider evidence and report citations.
</t>
        </r>
      </text>
    </comment>
    <comment ref="M21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https://help.yahoo.com/kb/finance/SLN2310.html
https://legal.yahoo.com/us/en/yahoo/terms/product-atos/finance/index.html</t>
        </r>
      </text>
    </comment>
    <comment ref="C2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https://api.monid.ai/public/v1/providers/yahoo-finance/endpoints/get_company_profile</t>
        </r>
      </text>
    </comment>
    <comment ref="E2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https://help.yahoo.com/kb/finance/SLN2310.html
https://legal.yahoo.com/us/en/yahoo/terms/product-atos/finance/index.html</t>
        </r>
      </text>
    </comment>
    <comment ref="K22" authorId="1">
      <text>
        <r>
          <rPr>
            <sz val="8"/>
            <color indexed="81"/>
            <rFont val="Tahoma"/>
            <family val="2"/>
          </rPr>
          <t xml:space="preserve">https://api.monid.ai/public/v1/providers/yahoo-finance/endpoints/get_company_profile
Endpoint-specific analysis; compare provider evidence and report citations.
</t>
        </r>
      </text>
    </comment>
    <comment ref="M2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https://help.yahoo.com/kb/finance/SLN2310.html
https://legal.yahoo.com/us/en/yahoo/terms/product-atos/finance/index.html</t>
        </r>
      </text>
    </comment>
    <comment ref="C2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https://api.monid.ai/public/v1/providers/yahoo-finance/endpoints/get_stock_news</t>
        </r>
      </text>
    </comment>
    <comment ref="E2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https://help.yahoo.com/kb/finance/SLN2310.html
https://legal.yahoo.com/us/en/yahoo/terms/product-atos/finance/index.html</t>
        </r>
      </text>
    </comment>
    <comment ref="K23" authorId="1">
      <text>
        <r>
          <rPr>
            <sz val="8"/>
            <color indexed="81"/>
            <rFont val="Tahoma"/>
            <family val="2"/>
          </rPr>
          <t xml:space="preserve">https://api.monid.ai/public/v1/providers/yahoo-finance/endpoints/get_stock_news
Endpoint-specific analysis; compare provider evidence and report citations.
</t>
        </r>
      </text>
    </comment>
    <comment ref="M2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https://help.yahoo.com/kb/finance/SLN2310.html
https://legal.yahoo.com/us/en/yahoo/terms/product-atos/finance/index.html</t>
        </r>
      </text>
    </comment>
    <comment ref="C2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https://api.monid.ai/public/v1/providers/yahoo-finance/endpoints/get_quote</t>
        </r>
      </text>
    </comment>
    <comment ref="E2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https://help.yahoo.com/kb/finance/SLN2310.html
https://legal.yahoo.com/us/en/yahoo/terms/product-atos/finance/index.html</t>
        </r>
      </text>
    </comment>
    <comment ref="K24" authorId="1">
      <text>
        <r>
          <rPr>
            <sz val="8"/>
            <color indexed="81"/>
            <rFont val="Tahoma"/>
            <family val="2"/>
          </rPr>
          <t xml:space="preserve">https://api.monid.ai/public/v1/providers/yahoo-finance/endpoints/get_quote
Endpoint-specific analysis; compare provider evidence and report citations.
</t>
        </r>
      </text>
    </comment>
    <comment ref="M2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https://help.yahoo.com/kb/finance/SLN2310.html
https://legal.yahoo.com/us/en/yahoo/terms/product-atos/finance/index.html</t>
        </r>
      </text>
    </comment>
    <comment ref="C2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https://api.monid.ai/public/v1/providers/yahoo-finance/endpoints/search_tickers</t>
        </r>
      </text>
    </comment>
    <comment ref="E2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https://help.yahoo.com/kb/finance/SLN2310.html
https://legal.yahoo.com/us/en/yahoo/terms/product-atos/finance/index.html</t>
        </r>
      </text>
    </comment>
    <comment ref="K25" authorId="1">
      <text>
        <r>
          <rPr>
            <sz val="8"/>
            <color indexed="81"/>
            <rFont val="Tahoma"/>
            <family val="2"/>
          </rPr>
          <t xml:space="preserve">https://api.monid.ai/public/v1/providers/yahoo-finance/endpoints/search_tickers
Endpoint-specific analysis; compare provider evidence and report citations.
</t>
        </r>
      </text>
    </comment>
    <comment ref="M2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https://help.yahoo.com/kb/finance/SLN2310.html
https://legal.yahoo.com/us/en/yahoo/terms/product-atos/finance/index.html</t>
        </r>
      </text>
    </comment>
    <comment ref="C2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https://api.monid.ai/public/v1/providers/finviz/endpoints/get_screener_results</t>
        </r>
      </text>
    </comment>
    <comment ref="E2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https://finviz.com/help/faq
https://finviz.com/screener?f=ind_stocksonly&amp;v=111</t>
        </r>
      </text>
    </comment>
    <comment ref="K26" authorId="1">
      <text>
        <r>
          <rPr>
            <sz val="8"/>
            <color indexed="81"/>
            <rFont val="Tahoma"/>
            <family val="2"/>
          </rPr>
          <t xml:space="preserve">https://api.monid.ai/public/v1/providers/finviz/endpoints/get_screener_results
Endpoint-specific analysis; compare provider evidence and report citations.
</t>
        </r>
      </text>
    </comment>
    <comment ref="M2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https://finviz.com/help/faq
https://finviz.com/screener?f=ind_stocksonly&amp;v=111
https://finviz.com/screener?v=111
https://finviz.com/knowledge-base/market-data-research/api/usage-limits
https://finviz.com/elite</t>
        </r>
      </text>
    </comment>
    <comment ref="C27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https://api.monid.ai/public/v1/providers/finviz/endpoints/get_ticker_sectors_with_performance</t>
        </r>
      </text>
    </comment>
    <comment ref="E27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https://finviz.com/help/faq
https://finviz.com/screener?f=ind_stocksonly&amp;v=111</t>
        </r>
      </text>
    </comment>
    <comment ref="K27" authorId="1">
      <text>
        <r>
          <rPr>
            <sz val="8"/>
            <color indexed="81"/>
            <rFont val="Tahoma"/>
            <family val="2"/>
          </rPr>
          <t xml:space="preserve">https://api.monid.ai/public/v1/providers/finviz/endpoints/get_ticker_sectors_with_performance
Endpoint-specific analysis; compare provider evidence and report citations.
</t>
        </r>
      </text>
    </comment>
    <comment ref="M27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https://finviz.com/help/faq
https://finviz.com/screener?f=ind_stocksonly&amp;v=111
https://finviz.com/screener?v=111
https://finviz.com/knowledge-base/market-data-research/api/usage-limits
https://finviz.com/elite</t>
        </r>
      </text>
    </comment>
    <comment ref="C28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https://api.monid.ai/public/v1/providers/finviz/endpoints/get_stock_news_sentiment</t>
        </r>
      </text>
    </comment>
    <comment ref="E28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https://finviz.com/help/faq
https://finviz.com/screener?f=ind_stocksonly&amp;v=111</t>
        </r>
      </text>
    </comment>
    <comment ref="K28" authorId="1">
      <text>
        <r>
          <rPr>
            <sz val="8"/>
            <color indexed="81"/>
            <rFont val="Tahoma"/>
            <family val="2"/>
          </rPr>
          <t xml:space="preserve">https://api.monid.ai/public/v1/providers/finviz/endpoints/get_stock_news_sentiment
Endpoint-specific analysis; compare provider evidence and report citations.
</t>
        </r>
      </text>
    </comment>
    <comment ref="M28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https://finviz.com/help/faq
https://finviz.com/screener?f=ind_stocksonly&amp;v=111
https://finviz.com/screener?v=111
https://finviz.com/knowledge-base/market-data-research/api/usage-limits
https://finviz.com/elite</t>
        </r>
      </text>
    </comment>
    <comment ref="C29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https://api.monid.ai/public/v1/providers/finviz/endpoints/get_market_movers</t>
        </r>
      </text>
    </comment>
    <comment ref="E29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https://finviz.com/help/faq
https://finviz.com/screener?f=ind_stocksonly&amp;v=111</t>
        </r>
      </text>
    </comment>
    <comment ref="K29" authorId="1">
      <text>
        <r>
          <rPr>
            <sz val="8"/>
            <color indexed="81"/>
            <rFont val="Tahoma"/>
            <family val="2"/>
          </rPr>
          <t xml:space="preserve">https://api.monid.ai/public/v1/providers/finviz/endpoints/get_market_movers
Endpoint-specific analysis; compare provider evidence and report citations.
</t>
        </r>
      </text>
    </comment>
    <comment ref="M29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https://finviz.com/help/faq
https://finviz.com/screener?f=ind_stocksonly&amp;v=111
https://finviz.com/screener?v=111
https://finviz.com/knowledge-base/market-data-research/api/usage-limits
https://finviz.com/elite</t>
        </r>
      </text>
    </comment>
    <comment ref="C30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https://api.monid.ai/public/v1/providers/marketbeat/endpoints/get_financial_statements</t>
        </r>
      </text>
    </comment>
    <comment ref="E30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0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https://api.monid.ai/public/v1/providers/marketbeat/endpoints/get_financial_statements
Endpoint-specific analysis; compare provider evidence and report citations.
</t>
        </r>
      </text>
    </comment>
    <comment ref="M30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1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https://api.monid.ai/public/v1/providers/marketbeat/endpoints/get_analyst_ratings</t>
        </r>
      </text>
    </comment>
    <comment ref="E31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1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https://api.monid.ai/public/v1/providers/marketbeat/endpoints/get_analyst_ratings
Endpoint-specific analysis; compare provider evidence and report citations.
</t>
        </r>
      </text>
    </comment>
    <comment ref="M31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https://api.monid.ai/public/v1/providers/marketbeat/endpoints/search_stocks</t>
        </r>
      </text>
    </comment>
    <comment ref="E3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2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https://api.monid.ai/public/v1/providers/marketbeat/endpoints/search_stocks
Endpoint-specific analysis; compare provider evidence and report citations.
</t>
        </r>
      </text>
    </comment>
    <comment ref="M3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https://api.monid.ai/public/v1/providers/marketbeat/endpoints/get_options_chain</t>
        </r>
      </text>
    </comment>
    <comment ref="E3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3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https://api.monid.ai/public/v1/providers/marketbeat/endpoints/get_options_chain
Endpoint-specific analysis; compare provider evidence and report citations.
</t>
        </r>
      </text>
    </comment>
    <comment ref="M3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https://api.monid.ai/public/v1/providers/marketbeat/endpoints/get_stock_overview</t>
        </r>
      </text>
    </comment>
    <comment ref="E3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4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https://api.monid.ai/public/v1/providers/marketbeat/endpoints/get_stock_overview
Endpoint-specific analysis; compare provider evidence and report citations.
</t>
        </r>
      </text>
    </comment>
    <comment ref="M3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https://api.monid.ai/public/v1/providers/marketbeat/endpoints/get_earnings</t>
        </r>
      </text>
    </comment>
    <comment ref="E3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5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https://api.monid.ai/public/v1/providers/marketbeat/endpoints/get_earnings
Endpoint-specific analysis; compare provider evidence and report citations.
</t>
        </r>
      </text>
    </comment>
    <comment ref="M3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https://api.monid.ai/public/v1/providers/marketbeat/endpoints/get_competitors</t>
        </r>
      </text>
    </comment>
    <comment ref="E3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6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https://api.monid.ai/public/v1/providers/marketbeat/endpoints/get_competitors
Endpoint-specific analysis; compare provider evidence and report citations.
</t>
        </r>
      </text>
    </comment>
    <comment ref="M3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7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https://api.monid.ai/public/v1/providers/marketbeat/endpoints/get_marketrank</t>
        </r>
      </text>
    </comment>
    <comment ref="E37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7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https://api.monid.ai/public/v1/providers/marketbeat/endpoints/get_marketrank
Endpoint-specific analysis; compare provider evidence and report citations.
</t>
        </r>
      </text>
    </comment>
    <comment ref="M37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8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https://api.monid.ai/public/v1/providers/marketbeat/endpoints/get_stock_headlines</t>
        </r>
      </text>
    </comment>
    <comment ref="E38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8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https://api.monid.ai/public/v1/providers/marketbeat/endpoints/get_stock_headlines
Endpoint-specific analysis; compare provider evidence and report citations.
</t>
        </r>
      </text>
    </comment>
    <comment ref="M38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39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https://api.monid.ai/public/v1/providers/marketbeat/endpoints/get_short_interest</t>
        </r>
      </text>
    </comment>
    <comment ref="E39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39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https://api.monid.ai/public/v1/providers/marketbeat/endpoints/get_short_interest
Endpoint-specific analysis; compare provider evidence and report citations.
</t>
        </r>
      </text>
    </comment>
    <comment ref="M39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40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https://api.monid.ai/public/v1/providers/marketbeat/endpoints/get_profitability_metrics</t>
        </r>
      </text>
    </comment>
    <comment ref="E40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40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https://api.monid.ai/public/v1/providers/marketbeat/endpoints/get_profitability_metrics
Endpoint-specific analysis; compare provider evidence and report citations.
</t>
        </r>
      </text>
    </comment>
    <comment ref="M40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41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https://api.monid.ai/public/v1/providers/marketbeat/endpoints/get_stock_forecast</t>
        </r>
      </text>
    </comment>
    <comment ref="E41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41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https://api.monid.ai/public/v1/providers/marketbeat/endpoints/get_stock_forecast
Endpoint-specific analysis; compare provider evidence and report citations.
</t>
        </r>
      </text>
    </comment>
    <comment ref="M41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4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https://api.monid.ai/public/v1/providers/stockanalysis/endpoints/get_stock_list</t>
        </r>
      </text>
    </comment>
    <comment ref="E4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2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https://api.monid.ai/public/v1/providers/stockanalysis/endpoints/get_stock_list
Endpoint-specific analysis; compare provider evidence and report citations.
</t>
        </r>
      </text>
    </comment>
    <comment ref="M4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https://api.monid.ai/public/v1/providers/stockanalysis/endpoints/search_stocks</t>
        </r>
      </text>
    </comment>
    <comment ref="E4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3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https://api.monid.ai/public/v1/providers/stockanalysis/endpoints/search_stocks
Endpoint-specific analysis; compare provider evidence and report citations.
</t>
        </r>
      </text>
    </comment>
    <comment ref="M4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https://api.monid.ai/public/v1/providers/stockanalysis/endpoints/get_stock_financials_income</t>
        </r>
      </text>
    </comment>
    <comment ref="E4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4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https://api.monid.ai/public/v1/providers/stockanalysis/endpoints/get_stock_financials_income
Endpoint-specific analysis; compare provider evidence and report citations.
</t>
        </r>
      </text>
    </comment>
    <comment ref="M4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https://api.monid.ai/public/v1/providers/stockanalysis/endpoints/get_market_movers_premarket</t>
        </r>
      </text>
    </comment>
    <comment ref="E4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5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https://api.monid.ai/public/v1/providers/stockanalysis/endpoints/get_market_movers_premarket
Endpoint-specific analysis; compare provider evidence and report citations.
</t>
        </r>
      </text>
    </comment>
    <comment ref="M4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https://api.monid.ai/public/v1/providers/stockanalysis/endpoints/get_stock_statistics</t>
        </r>
      </text>
    </comment>
    <comment ref="E4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6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https://api.monid.ai/public/v1/providers/stockanalysis/endpoints/get_stock_statistics
Endpoint-specific analysis; compare provider evidence and report citations.
</t>
        </r>
      </text>
    </comment>
    <comment ref="M4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7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https://api.monid.ai/public/v1/providers/stockanalysis/endpoints/get_ipo_calendar</t>
        </r>
      </text>
    </comment>
    <comment ref="E47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7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https://api.monid.ai/public/v1/providers/stockanalysis/endpoints/get_ipo_calendar
Endpoint-specific analysis; compare provider evidence and report citations.
</t>
        </r>
      </text>
    </comment>
    <comment ref="M47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8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https://api.monid.ai/public/v1/providers/stockanalysis/endpoints/get_stock_overview</t>
        </r>
      </text>
    </comment>
    <comment ref="E48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https://stockanalysis.com/help/data-and-downloads/about-our-data/
https://stockanalysis.com/data-sources/</t>
        </r>
      </text>
    </comment>
    <comment ref="K48" authorId="1">
      <text>
        <r>
          <rPr>
            <sz val="8"/>
            <color indexed="81"/>
            <rFont val="Tahoma"/>
            <family val="2"/>
          </rPr>
          <t xml:space="preserve">https://api.monid.ai/public/v1/providers/stockanalysis/endpoints/get_stock_overview
Endpoint-specific analysis; compare provider evidence and report citations.
</t>
        </r>
      </text>
    </comment>
    <comment ref="M48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C49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https://api.monid.ai/public/v1/providers/defillama/endpoints/equities/v1/statements</t>
        </r>
      </text>
    </comment>
    <comment ref="E49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49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https://api.monid.ai/public/v1/providers/defillama/endpoints/equities/v1/statements
Endpoint-specific analysis; compare provider evidence and report citations.
https://github.com/DefiLlama/api-docs/blob/main/llms-pro.txt</t>
        </r>
      </text>
    </comment>
    <comment ref="M49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0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https://api.monid.ai/public/v1/providers/defillama/endpoints/equities/v1/filings</t>
        </r>
      </text>
    </comment>
    <comment ref="E50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0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https://api.monid.ai/public/v1/providers/defillama/endpoints/equities/v1/filings
Endpoint-specific analysis; compare provider evidence and report citations.
https://github.com/DefiLlama/api-docs/blob/main/llms-pro.txt</t>
        </r>
      </text>
    </comment>
    <comment ref="M50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1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https://api.monid.ai/public/v1/providers/defillama/endpoints/equities/v1/summary</t>
        </r>
      </text>
    </comment>
    <comment ref="E51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1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https://api.monid.ai/public/v1/providers/defillama/endpoints/equities/v1/summary
Endpoint-specific analysis; compare provider evidence and report citations.
https://github.com/DefiLlama/api-docs/blob/main/llms-pro.txt</t>
        </r>
      </text>
    </comment>
    <comment ref="M51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https://api.monid.ai/public/v1/providers/defillama/endpoints/equities/v1/price-history</t>
        </r>
      </text>
    </comment>
    <comment ref="E5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2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https://api.monid.ai/public/v1/providers/defillama/endpoints/equities/v1/price-history
Endpoint-specific analysis; compare provider evidence and report citations.
https://github.com/DefiLlama/api-docs/blob/main/llms-pro.txt</t>
        </r>
      </text>
    </comment>
    <comment ref="M5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https://api.monid.ai/public/v1/providers/defillama/endpoints/equities/v1/companies-list</t>
        </r>
      </text>
    </comment>
    <comment ref="E5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3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https://api.monid.ai/public/v1/providers/defillama/endpoints/equities/v1/companies-list
Endpoint-specific analysis; compare provider evidence and report citations.
https://github.com/DefiLlama/api-docs/blob/main/llms-pro.txt</t>
        </r>
      </text>
    </comment>
    <comment ref="M5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https://api.monid.ai/public/v1/providers/defillama/endpoints/equities/v1/ohlcv</t>
        </r>
      </text>
    </comment>
    <comment ref="E5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4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https://api.monid.ai/public/v1/providers/defillama/endpoints/equities/v1/ohlcv
Endpoint-specific analysis; compare provider evidence and report citations.
https://github.com/DefiLlama/api-docs/blob/main/llms-pro.txt</t>
        </r>
      </text>
    </comment>
    <comment ref="M5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https://api.monid.ai/public/v1/providers/defillama/endpoints/equities/v1/onchain</t>
        </r>
      </text>
    </comment>
    <comment ref="E5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5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https://api.monid.ai/public/v1/providers/defillama/endpoints/equities/v1/onchain
Endpoint-specific analysis; compare provider evidence and report citations.
https://github.com/DefiLlama/api-docs/blob/main/llms-pro.txt</t>
        </r>
      </text>
    </comment>
    <comment ref="M5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  <comment ref="C5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https://api.monid.ai/public/v1/providers/defillama/endpoints/equities/v1/dimensions</t>
        </r>
      </text>
    </comment>
    <comment ref="E5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https://api-docs.defillama.com/
https://github.com/DefiLlama/api-docs/blob/main/llms-pro.txt</t>
        </r>
      </text>
    </comment>
    <comment ref="K56" authorId="1">
      <text>
        <r>
          <rPr>
            <sz val="8"/>
            <color indexed="81"/>
            <rFont val="Tahoma"/>
            <family val="2"/>
          </rPr>
          <t>https://api.monid.ai/public/v1/providers/defillama/endpoints/equities/v1/dimensions
Endpoint-specific analysis; compare provider evidence and report citations.
https://github.com/DefiLlama/api-docs/blob/main/llms-pro.txt</t>
        </r>
      </text>
    </comment>
    <comment ref="M5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https://api-docs.defillama.com/
https://github.com/DefiLlama/api-docs/blob/main/llms-pro.txt
https://defillama.com/equities
https://defillama.com/terms/
https://twelvedata.com/terms</t>
        </r>
      </text>
    </comment>
  </commentList>
</comments>
</file>

<file path=xl/comments4.xml><?xml version="1.0" encoding="utf-8"?>
<comments xmlns="http://schemas.openxmlformats.org/spreadsheetml/2006/main">
  <authors>
    <author/>
    <author>Source evidence</author>
  </authors>
  <commentList>
    <comment ref="C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https://api.monid.ai/public/v1/providers/nasdaq/endpoints/get_stock_institutional_holdings</t>
        </r>
      </text>
    </comment>
    <comment ref="E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https://www.nasdaq.com/products/data/equities/nasdaq-last-sale
https://www.nasdaq.com/market-activity/stocks/aapl</t>
        </r>
      </text>
    </comment>
    <comment ref="K2" authorId="1">
      <text>
        <r>
          <rPr>
            <sz val="8"/>
            <color indexed="81"/>
            <rFont val="Tahoma"/>
            <family val="2"/>
          </rPr>
          <t xml:space="preserve">https://api.monid.ai/public/v1/providers/nasdaq/endpoints/get_stock_institutional_holdings
Endpoint-specific analysis; compare provider evidence and report citations.
</t>
        </r>
      </text>
    </comment>
    <comment ref="M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C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https://api.monid.ai/public/v1/providers/finviz/endpoints/get_insider_trading</t>
        </r>
      </text>
    </comment>
    <comment ref="E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https://finviz.com/help/faq
https://finviz.com/screener?f=ind_stocksonly&amp;v=111</t>
        </r>
      </text>
    </comment>
    <comment ref="K3" authorId="1">
      <text>
        <r>
          <rPr>
            <sz val="8"/>
            <color indexed="81"/>
            <rFont val="Tahoma"/>
            <family val="2"/>
          </rPr>
          <t xml:space="preserve">https://api.monid.ai/public/v1/providers/finviz/endpoints/get_insider_trading
Endpoint-specific analysis; compare provider evidence and report citations.
</t>
        </r>
      </text>
    </comment>
    <comment ref="M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https://finviz.com/help/faq
https://finviz.com/screener?f=ind_stocksonly&amp;v=111
https://finviz.com/screener?v=111
https://finviz.com/knowledge-base/market-data-research/api/usage-limits
https://finviz.com/elite</t>
        </r>
      </text>
    </comment>
    <comment ref="C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https://api.monid.ai/public/v1/providers/marketbeat/endpoints/get_institutional_ownership</t>
        </r>
      </text>
    </comment>
    <comment ref="E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4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https://api.monid.ai/public/v1/providers/marketbeat/endpoints/get_institutional_ownership
Endpoint-specific analysis; compare provider evidence and report citations.
</t>
        </r>
      </text>
    </comment>
    <comment ref="M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https://api.monid.ai/public/v1/providers/marketbeat/endpoints/get_insider_trades</t>
        </r>
      </text>
    </comment>
    <comment ref="E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https://www.marketbeat.com/about/
https://www.marketbeat.com/editorial-guidelines/</t>
        </r>
      </text>
    </comment>
    <comment ref="K5" authorId="1">
      <text>
        <r>
          <rPr>
            <sz val="8"/>
            <color indexed="81"/>
            <rFont val="Tahoma"/>
            <family val="2"/>
          </rPr>
          <t xml:space="preserve">https://api.monid.ai/public/v1/providers/marketbeat/endpoints/get_insider_trades
Endpoint-specific analysis; compare provider evidence and report citations.
</t>
        </r>
      </text>
    </comment>
    <comment ref="M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https://www.marketbeat.com/about/
https://www.marketbeat.com/editorial-guidelines/
https://www.marketbeat.com/faq/
https://www.marketbeat.com/terms/
https://www.marketbeat.com/all-access/insider-trades-screener/</t>
        </r>
      </text>
    </comment>
    <comment ref="C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https://api.monid.ai/public/v1/providers/secform4/endpoints/search</t>
        </r>
      </text>
    </comment>
    <comment ref="E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6" authorId="1">
      <text>
        <r>
          <rPr>
            <sz val="8"/>
            <color indexed="81"/>
            <rFont val="Tahoma"/>
            <family val="2"/>
          </rPr>
          <t>https://api.monid.ai/public/v1/providers/secform4/endpoints/search
Endpoint-specific analysis; compare provider evidence and report citations.
https://www.secform4.com/significant-buys
https://www.secform4.com/insider-trading/320193.htm</t>
        </r>
      </text>
    </comment>
    <comment ref="M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7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https://api.monid.ai/public/v1/providers/secform4/endpoints/get_13d_filings</t>
        </r>
      </text>
    </comment>
    <comment ref="E7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7" authorId="1">
      <text>
        <r>
          <rPr>
            <sz val="8"/>
            <color indexed="81"/>
            <rFont val="Tahoma"/>
            <family val="2"/>
          </rPr>
          <t>https://api.monid.ai/public/v1/providers/secform4/endpoints/get_13d_filings
Endpoint-specific analysis; compare provider evidence and report citations.
https://www.secform4.com/significant-buys
https://www.secform4.com/insider-trading/320193.htm</t>
        </r>
      </text>
    </comment>
    <comment ref="M7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8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https://api.monid.ai/public/v1/providers/secform4/endpoints/get_insider_sales</t>
        </r>
      </text>
    </comment>
    <comment ref="E8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8" authorId="1">
      <text>
        <r>
          <rPr>
            <sz val="8"/>
            <color indexed="81"/>
            <rFont val="Tahoma"/>
            <family val="2"/>
          </rPr>
          <t>https://api.monid.ai/public/v1/providers/secform4/endpoints/get_insider_sales
Endpoint-specific analysis; compare provider evidence and report citations.
https://www.secform4.com/significant-buys
https://www.secform4.com/insider-trading/320193.htm</t>
        </r>
      </text>
    </comment>
    <comment ref="M8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9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https://api.monid.ai/public/v1/providers/secform4/endpoints/get_significant_insider_buys</t>
        </r>
      </text>
    </comment>
    <comment ref="E9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9" authorId="1">
      <text>
        <r>
          <rPr>
            <sz val="8"/>
            <color indexed="81"/>
            <rFont val="Tahoma"/>
            <family val="2"/>
          </rPr>
          <t>https://api.monid.ai/public/v1/providers/secform4/endpoints/get_significant_insider_buys
Endpoint-specific analysis; compare provider evidence and report citations.
https://www.secform4.com/significant-buys
https://www.secform4.com/insider-trading/320193.htm</t>
        </r>
      </text>
    </comment>
    <comment ref="M9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0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https://api.monid.ai/public/v1/providers/secform4/endpoints/get_institution_holders</t>
        </r>
      </text>
    </comment>
    <comment ref="E10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0" authorId="1">
      <text>
        <r>
          <rPr>
            <sz val="8"/>
            <color indexed="81"/>
            <rFont val="Tahoma"/>
            <family val="2"/>
          </rPr>
          <t>https://api.monid.ai/public/v1/providers/secform4/endpoints/get_institution_holders
Endpoint-specific analysis; compare provider evidence and report citations.
https://www.secform4.com/significant-buys
https://www.secform4.com/insider-trading/320193.htm</t>
        </r>
      </text>
    </comment>
    <comment ref="M10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1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https://api.monid.ai/public/v1/providers/secform4/endpoints/get_insider_buy_sell_ratios</t>
        </r>
      </text>
    </comment>
    <comment ref="E11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1" authorId="1">
      <text>
        <r>
          <rPr>
            <sz val="8"/>
            <color indexed="81"/>
            <rFont val="Tahoma"/>
            <family val="2"/>
          </rPr>
          <t>https://api.monid.ai/public/v1/providers/secform4/endpoints/get_insider_buy_sell_ratios
Endpoint-specific analysis; compare provider evidence and report citations.
https://www.secform4.com/significant-buys
https://www.secform4.com/insider-trading/320193.htm</t>
        </r>
      </text>
    </comment>
    <comment ref="M11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2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https://api.monid.ai/public/v1/providers/secform4/endpoints/get_stock_options</t>
        </r>
      </text>
    </comment>
    <comment ref="E12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2" authorId="1">
      <text>
        <r>
          <rPr>
            <sz val="8"/>
            <color indexed="81"/>
            <rFont val="Tahoma"/>
            <family val="2"/>
          </rPr>
          <t>https://api.monid.ai/public/v1/providers/secform4/endpoints/get_stock_options
Endpoint-specific analysis; compare provider evidence and report citations.
https://www.secform4.com/significant-buys
https://www.secform4.com/insider-trading/320193.htm</t>
        </r>
      </text>
    </comment>
    <comment ref="M12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3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https://api.monid.ai/public/v1/providers/secform4/endpoints/get_insider_buys</t>
        </r>
      </text>
    </comment>
    <comment ref="E13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3" authorId="1">
      <text>
        <r>
          <rPr>
            <sz val="8"/>
            <color indexed="81"/>
            <rFont val="Tahoma"/>
            <family val="2"/>
          </rPr>
          <t>https://api.monid.ai/public/v1/providers/secform4/endpoints/get_insider_buys
Endpoint-specific analysis; compare provider evidence and report citations.
https://www.secform4.com/significant-buys
https://www.secform4.com/insider-trading/320193.htm</t>
        </r>
      </text>
    </comment>
    <comment ref="M13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4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https://api.monid.ai/public/v1/providers/secform4/endpoints/get_company_insider_trading</t>
        </r>
      </text>
    </comment>
    <comment ref="E14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4" authorId="1">
      <text>
        <r>
          <rPr>
            <sz val="8"/>
            <color indexed="81"/>
            <rFont val="Tahoma"/>
            <family val="2"/>
          </rPr>
          <t>https://api.monid.ai/public/v1/providers/secform4/endpoints/get_company_insider_trading
Endpoint-specific analysis; compare provider evidence and report citations.
https://www.secform4.com/significant-buys
https://www.secform4.com/insider-trading/320193.htm</t>
        </r>
      </text>
    </comment>
    <comment ref="M14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5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https://api.monid.ai/public/v1/providers/secform4/endpoints/get_hedge_fund_portfolio</t>
        </r>
      </text>
    </comment>
    <comment ref="E15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5" authorId="1">
      <text>
        <r>
          <rPr>
            <sz val="8"/>
            <color indexed="81"/>
            <rFont val="Tahoma"/>
            <family val="2"/>
          </rPr>
          <t>https://api.monid.ai/public/v1/providers/secform4/endpoints/get_hedge_fund_portfolio
Endpoint-specific analysis; compare provider evidence and report citations.
https://www.secform4.com/significant-buys
https://www.secform4.com/insider-trading/320193.htm</t>
        </r>
      </text>
    </comment>
    <comment ref="M15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C16" authorId="0">
      <text>
        <r>
          <rPr>
            <sz val="8"/>
            <color indexed="81"/>
            <rFont val="Tahoma"/>
            <family val="2"/>
          </rPr>
          <t>Catalogue name/path verified; exact paid Monid schema not tested.
https://api.monid.ai/public/v1/providers/secform4/endpoints/get_13g_filings</t>
        </r>
      </text>
    </comment>
    <comment ref="E16" authorId="1">
      <text>
        <r>
          <rPr>
            <sz val="8"/>
            <color indexed="81"/>
            <rFont val="Tahoma"/>
            <family val="2"/>
          </rPr>
          <t>See Provider evidence for coverage qualifications. No exact Monid count established.
https://www.secform4.com/
https://www.secform4.com/all-buys</t>
        </r>
      </text>
    </comment>
    <comment ref="K16" authorId="1">
      <text>
        <r>
          <rPr>
            <sz val="8"/>
            <color indexed="81"/>
            <rFont val="Tahoma"/>
            <family val="2"/>
          </rPr>
          <t>https://api.monid.ai/public/v1/providers/secform4/endpoints/get_13g_filings
Endpoint-specific analysis; compare provider evidence and report citations.
https://www.secform4.com/significant-buys
https://www.secform4.com/insider-trading/320193.htm</t>
        </r>
      </text>
    </comment>
    <comment ref="M16" authorId="1">
      <text>
        <r>
          <rPr>
            <sz val="8"/>
            <color indexed="81"/>
            <rFont val="Tahoma"/>
            <family val="2"/>
          </rPr>
          <t>Provider rights are NOT a confirmed pass-through agreement for this connector.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</commentList>
</comments>
</file>

<file path=xl/comments5.xml><?xml version="1.0" encoding="utf-8"?>
<comments xmlns="http://schemas.openxmlformats.org/spreadsheetml/2006/main">
  <authors>
    <author>Source evidence</author>
  </authors>
  <commentList>
    <comment ref="D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E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F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G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H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I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J2" authorId="0">
      <text>
        <r>
          <rPr>
            <sz val="8"/>
            <color indexed="81"/>
            <rFont val="Tahoma"/>
            <family val="2"/>
          </rPr>
          <t xml:space="preserve">
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      </r>
      </text>
    </comment>
    <comment ref="D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E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F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G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H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I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J3" authorId="0">
      <text>
        <r>
          <rPr>
            <sz val="8"/>
            <color indexed="81"/>
            <rFont val="Tahoma"/>
            <family val="2"/>
          </rPr>
          <t xml:space="preserve">
https://help.yahoo.com/kb/finance/SLN2310.html
https://legal.yahoo.com/us/en/yahoo/terms/product-atos/finance/index.html</t>
        </r>
      </text>
    </comment>
    <comment ref="D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E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F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G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H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I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J4" authorId="0">
      <text>
        <r>
          <rPr>
            <sz val="8"/>
            <color indexed="81"/>
            <rFont val="Tahoma"/>
            <family val="2"/>
          </rPr>
          <t xml:space="preserve">
https://finviz.com/help/faq
https://finviz.com/screener?f=ind_stocksonly&amp;v=111
https://finviz.com/screener?v=111
https://finviz.com/knowledge-base/market-data-research/api/usage-limits
https://finviz.com/elite</t>
        </r>
      </text>
    </comment>
    <comment ref="D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E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F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G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H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I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J5" authorId="0">
      <text>
        <r>
          <rPr>
            <sz val="8"/>
            <color indexed="81"/>
            <rFont val="Tahoma"/>
            <family val="2"/>
          </rPr>
          <t xml:space="preserve">
https://www.marketbeat.com/about/
https://www.marketbeat.com/editorial-guidelines/
https://www.marketbeat.com/faq/
https://www.marketbeat.com/terms/
https://www.marketbeat.com/all-access/insider-trades-screener/</t>
        </r>
      </text>
    </comment>
    <comment ref="D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E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F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G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H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I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J6" authorId="0">
      <text>
        <r>
          <rPr>
            <sz val="8"/>
            <color indexed="81"/>
            <rFont val="Tahoma"/>
            <family val="2"/>
          </rPr>
          <t xml:space="preserve">
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      </r>
      </text>
    </comment>
    <comment ref="D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E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F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G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H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I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J7" authorId="0">
      <text>
        <r>
          <rPr>
            <sz val="8"/>
            <color indexed="81"/>
            <rFont val="Tahoma"/>
            <family val="2"/>
          </rPr>
          <t xml:space="preserve">
https://api-docs.defillama.com/
https://github.com/DefiLlama/api-docs/blob/main/llms-pro.txt
https://defillama.com/equities
https://defillama.com/terms/
https://twelvedata.com/terms</t>
        </r>
      </text>
    </comment>
    <comment ref="D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E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F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G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H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I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  <comment ref="J8" authorId="0">
      <text>
        <r>
          <rPr>
            <sz val="8"/>
            <color indexed="81"/>
            <rFont val="Tahoma"/>
            <family val="2"/>
          </rPr>
          <t xml:space="preserve">
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https://api.monid.ai/public/v1/providers/nasdaq/endpoints/get_stock_earnings</t>
        </r>
      </text>
    </comment>
    <comment ref="J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https://api.monid.ai/public/v1/providers/nasdaq/endpoints/get_stock_screener</t>
        </r>
      </text>
    </comment>
    <comment ref="J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https://api.monid.ai/public/v1/providers/nasdaq/endpoints/get_earnings_calendar</t>
        </r>
      </text>
    </comment>
    <comment ref="J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https://api.monid.ai/public/v1/providers/nasdaq/endpoints/get_stock_sec_filings</t>
        </r>
      </text>
    </comment>
    <comment ref="J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https://api.monid.ai/public/v1/providers/nasdaq/endpoints/get_mutual_fund_quote</t>
        </r>
      </text>
    </comment>
    <comment ref="J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https://api.monid.ai/public/v1/providers/nasdaq/endpoints/get_stock_dividend_history</t>
        </r>
      </text>
    </comment>
    <comment ref="J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https://api.monid.ai/public/v1/providers/nasdaq/endpoints/get_stock_quote</t>
        </r>
      </text>
    </comment>
    <comment ref="J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https://api.monid.ai/public/v1/providers/nasdaq/endpoints/search_symbols</t>
        </r>
      </text>
    </comment>
    <comment ref="J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https://api.monid.ai/public/v1/providers/nasdaq/endpoints/get_market_indices</t>
        </r>
      </text>
    </comment>
    <comment ref="J1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https://api.monid.ai/public/v1/providers/nasdaq/endpoints/get_stock_historical_quotes</t>
        </r>
      </text>
    </comment>
    <comment ref="J1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https://api.monid.ai/public/v1/providers/nasdaq/endpoints/get_stock_institutional_holdings</t>
        </r>
      </text>
    </comment>
    <comment ref="J1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https://api.monid.ai/public/v1/providers/nasdaq/endpoints/get_market_movers</t>
        </r>
      </text>
    </comment>
    <comment ref="J1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https://api.monid.ai/public/v1/providers/nasdaq/endpoints/get_etf_quote</t>
        </r>
      </text>
    </comment>
    <comment ref="J1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https://api.monid.ai/public/v1/providers/nasdaq/endpoints/get_cryptocurrency_quote</t>
        </r>
      </text>
    </comment>
    <comment ref="J1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https://api.monid.ai/public/v1/providers/nasdaq/endpoints/get_stock_news</t>
        </r>
      </text>
    </comment>
    <comment ref="J1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https://api.monid.ai/public/v1/providers/nasdaq/endpoints/get_stock_financials</t>
        </r>
      </text>
    </comment>
    <comment ref="J1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https://api.monid.ai/public/v1/providers/nasdaq/endpoints/get_index_detail</t>
        </r>
      </text>
    </comment>
    <comment ref="J1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1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https://api.monid.ai/public/v1/providers/nasdaq/endpoints/get_stock_short_interest</t>
        </r>
      </text>
    </comment>
    <comment ref="J1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1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1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https://api.monid.ai/public/v1/providers/nasdaq/endpoints/get_stock_option_chain</t>
        </r>
      </text>
    </comment>
    <comment ref="J2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https://api.monid.ai/public/v1/providers/nasdaq/endpoints/get_retail_trading_activity</t>
        </r>
      </text>
    </comment>
    <comment ref="J2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https://api.monid.ai/public/v1/providers/yahoo-finance/endpoints/get_historical_data</t>
        </r>
      </text>
    </comment>
    <comment ref="J2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https://api.monid.ai/public/v1/providers/yahoo-finance/endpoints/get_company_profile</t>
        </r>
      </text>
    </comment>
    <comment ref="J2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https://api.monid.ai/public/v1/providers/yahoo-finance/endpoints/get_stock_news</t>
        </r>
      </text>
    </comment>
    <comment ref="J2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https://api.monid.ai/public/v1/providers/yahoo-finance/endpoints/get_quote</t>
        </r>
      </text>
    </comment>
    <comment ref="J2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https://api.monid.ai/public/v1/providers/yahoo-finance/endpoints/search_tickers</t>
        </r>
      </text>
    </comment>
    <comment ref="J2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https://api.monid.ai/public/v1/providers/finviz/endpoints/get_screener_results</t>
        </r>
      </text>
    </comment>
    <comment ref="J2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https://api.monid.ai/public/v1/providers/finviz/endpoints/get_insider_trading</t>
        </r>
      </text>
    </comment>
    <comment ref="J2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2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https://api.monid.ai/public/v1/providers/finviz/endpoints/get_ticker_sectors_with_performance</t>
        </r>
      </text>
    </comment>
    <comment ref="J2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2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2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https://api.monid.ai/public/v1/providers/finviz/endpoints/get_stock_news_sentiment</t>
        </r>
      </text>
    </comment>
    <comment ref="J3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https://api.monid.ai/public/v1/providers/finviz/endpoints/get_market_movers</t>
        </r>
      </text>
    </comment>
    <comment ref="J3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https://api.monid.ai/public/v1/providers/marketbeat/endpoints/get_financial_statements</t>
        </r>
      </text>
    </comment>
    <comment ref="J3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https://api.monid.ai/public/v1/providers/marketbeat/endpoints/get_institutional_ownership</t>
        </r>
      </text>
    </comment>
    <comment ref="J3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https://api.monid.ai/public/v1/providers/marketbeat/endpoints/get_analyst_ratings</t>
        </r>
      </text>
    </comment>
    <comment ref="J3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https://api.monid.ai/public/v1/providers/marketbeat/endpoints/get_insider_trades</t>
        </r>
      </text>
    </comment>
    <comment ref="J3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https://api.monid.ai/public/v1/providers/marketbeat/endpoints/search_stocks</t>
        </r>
      </text>
    </comment>
    <comment ref="J3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https://api.monid.ai/public/v1/providers/marketbeat/endpoints/get_options_chain</t>
        </r>
      </text>
    </comment>
    <comment ref="J3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https://api.monid.ai/public/v1/providers/marketbeat/endpoints/get_stock_overview</t>
        </r>
      </text>
    </comment>
    <comment ref="J3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3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https://api.monid.ai/public/v1/providers/marketbeat/endpoints/get_earnings</t>
        </r>
      </text>
    </comment>
    <comment ref="J3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3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3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https://api.monid.ai/public/v1/providers/marketbeat/endpoints/get_competitors</t>
        </r>
      </text>
    </comment>
    <comment ref="J4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https://api.monid.ai/public/v1/providers/marketbeat/endpoints/get_marketrank</t>
        </r>
      </text>
    </comment>
    <comment ref="J4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https://api.monid.ai/public/v1/providers/marketbeat/endpoints/get_stock_headlines</t>
        </r>
      </text>
    </comment>
    <comment ref="J4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https://api.monid.ai/public/v1/providers/marketbeat/endpoints/get_short_interest</t>
        </r>
      </text>
    </comment>
    <comment ref="J4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https://api.monid.ai/public/v1/providers/marketbeat/endpoints/get_profitability_metrics</t>
        </r>
      </text>
    </comment>
    <comment ref="J4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https://api.monid.ai/public/v1/providers/marketbeat/endpoints/get_stock_forecast</t>
        </r>
      </text>
    </comment>
    <comment ref="J4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https://api.monid.ai/public/v1/providers/stockanalysis/endpoints/get_stock_list</t>
        </r>
      </text>
    </comment>
    <comment ref="J4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https://api.monid.ai/public/v1/providers/stockanalysis/endpoints/search_stocks</t>
        </r>
      </text>
    </comment>
    <comment ref="J4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https://api.monid.ai/public/v1/providers/stockanalysis/endpoints/get_stock_financials_income</t>
        </r>
      </text>
    </comment>
    <comment ref="J4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4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https://api.monid.ai/public/v1/providers/stockanalysis/endpoints/get_market_movers_premarket</t>
        </r>
      </text>
    </comment>
    <comment ref="J4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4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4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https://api.monid.ai/public/v1/providers/stockanalysis/endpoints/get_stock_statistics</t>
        </r>
      </text>
    </comment>
    <comment ref="J5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https://api.monid.ai/public/v1/providers/stockanalysis/endpoints/get_ipo_calendar</t>
        </r>
      </text>
    </comment>
    <comment ref="J5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https://api.monid.ai/public/v1/providers/stockanalysis/endpoints/get_stock_overview</t>
        </r>
      </text>
    </comment>
    <comment ref="J5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https://api.monid.ai/public/v1/providers/defillama/endpoints/equities/v1/statements</t>
        </r>
      </text>
    </comment>
    <comment ref="J5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https://api.monid.ai/public/v1/providers/defillama/endpoints/equities/v1/filings</t>
        </r>
      </text>
    </comment>
    <comment ref="J5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https://api.monid.ai/public/v1/providers/defillama/endpoints/equities/v1/summary</t>
        </r>
      </text>
    </comment>
    <comment ref="J5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https://api.monid.ai/public/v1/providers/defillama/endpoints/equities/v1/price-history</t>
        </r>
      </text>
    </comment>
    <comment ref="J5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https://api.monid.ai/public/v1/providers/defillama/endpoints/equities/v1/companies-list</t>
        </r>
      </text>
    </comment>
    <comment ref="J5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https://api.monid.ai/public/v1/providers/defillama/endpoints/equities/v1/ohlcv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5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https://api.monid.ai/public/v1/providers/defillama/endpoints/equities/v1/onchain</t>
        </r>
      </text>
    </comment>
    <comment ref="J5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5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5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https://api.monid.ai/public/v1/providers/defillama/endpoints/equities/v1/dimensions</t>
        </r>
      </text>
    </comment>
    <comment ref="J6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https://api.monid.ai/public/v1/providers/secform4/endpoints/search</t>
        </r>
      </text>
    </comment>
    <comment ref="J6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2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https://api.monid.ai/public/v1/providers/secform4/endpoints/get_13d_filings</t>
        </r>
      </text>
    </comment>
    <comment ref="J62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2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2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3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https://api.monid.ai/public/v1/providers/secform4/endpoints/get_insider_sales</t>
        </r>
      </text>
    </comment>
    <comment ref="J63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3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3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4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https://api.monid.ai/public/v1/providers/secform4/endpoints/get_significant_insider_buys</t>
        </r>
      </text>
    </comment>
    <comment ref="J64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4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4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5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https://api.monid.ai/public/v1/providers/secform4/endpoints/get_institution_holders</t>
        </r>
      </text>
    </comment>
    <comment ref="J65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5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5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6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https://api.monid.ai/public/v1/providers/secform4/endpoints/get_insider_buy_sell_ratios</t>
        </r>
      </text>
    </comment>
    <comment ref="J66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6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6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7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https://api.monid.ai/public/v1/providers/secform4/endpoints/get_stock_options</t>
        </r>
      </text>
    </comment>
    <comment ref="J67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7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7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8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https://api.monid.ai/public/v1/providers/secform4/endpoints/get_insider_buys</t>
        </r>
      </text>
    </comment>
    <comment ref="J68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8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8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69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https://api.monid.ai/public/v1/providers/secform4/endpoints/get_company_insider_trading</t>
        </r>
      </text>
    </comment>
    <comment ref="J69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69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69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70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https://api.monid.ai/public/v1/providers/secform4/endpoints/get_hedge_fund_portfolio</t>
        </r>
      </text>
    </comment>
    <comment ref="J70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70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70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  <comment ref="F71" authorId="0">
      <text>
        <r>
          <rPr>
            <sz val="8"/>
            <color indexed="81"/>
            <rFont val="Tahoma"/>
            <family val="2"/>
          </rPr>
          <t>USD PER_CALL catalogue value captured 9 September 2026. No extra markup assumed; applicable licence/tax/commitments unknown.
https://api.monid.ai/public/v1/providers/secform4/endpoints/get_13g_filings</t>
        </r>
      </text>
    </comment>
    <comment ref="J71" authorId="0">
      <text>
        <r>
          <rPr>
            <sz val="8"/>
            <color indexed="81"/>
            <rFont val="Tahoma"/>
            <family val="2"/>
          </rPr>
          <t>Increase only if Monid supports this batch size and charges one call for it. Research formula assumes eligible lookups can be batched; separate interactive requests may not be batchable.</t>
        </r>
      </text>
    </comment>
    <comment ref="K71" authorId="0">
      <text>
        <r>
          <rPr>
            <sz val="8"/>
            <color indexed="81"/>
            <rFont val="Tahoma"/>
            <family val="2"/>
          </rPr>
          <t>Each page is assumed separately billable. Confirm actual pagination and billing; no pagination may mean permanent incompleteness, not just extra cost.</t>
        </r>
      </text>
    </comment>
    <comment ref="L71" authorId="0">
      <text>
        <r>
          <rPr>
            <sz val="8"/>
            <color indexed="81"/>
            <rFont val="Tahoma"/>
            <family val="2"/>
          </rPr>
          <t>Expected additional billable attempts as a fraction. Confirm whether failures/retries are charged; default zero is not a reliability claim.</t>
        </r>
      </text>
    </comment>
  </commentList>
</comments>
</file>

<file path=xl/sharedStrings.xml><?xml version="1.0" encoding="utf-8"?>
<sst xmlns="http://schemas.openxmlformats.org/spreadsheetml/2006/main" count="2200" uniqueCount="923">
  <si>
    <t>Monid Finance Tools</t>
  </si>
  <si>
    <t>Scope</t>
  </si>
  <si>
    <t>70 retrievable finance tools; 71 advertised. Company/market/news: 55. Insider/ownership: 15. Snapshot 9 September 2026.</t>
  </si>
  <si>
    <t>Start here</t>
  </si>
  <si>
    <t>Company tools and Insider tools contain the complete inventory. Provider evidence supplies inherited coverage, provenance, rights and audience. Sources contains primary links.</t>
  </si>
  <si>
    <t>Cost controls</t>
  </si>
  <si>
    <t>Edit blue cells in Assumptions and Costs. Profiles are formulas tied to assumptions. Costs shows occasional research and shared regular feeds for 10 and 100 users.</t>
  </si>
  <si>
    <t>Selected budget</t>
  </si>
  <si>
    <t>Set Include = 1 for tools you actually want. Default selected budget is zero. Reference totals enable all 70 overlapping tools and are NOT recommended bundles.</t>
  </si>
  <si>
    <t>Coverage</t>
  </si>
  <si>
    <t>Website ticker/profile counts do not prove Monid company coverage. Every exact per-tool supported-company count remains unverified.</t>
  </si>
  <si>
    <t>Permission</t>
  </si>
  <si>
    <t>No customer-display/storage grant established for these Monid connectors. Paying call charges does not establish news-body/image rights or publisher subscription access.</t>
  </si>
  <si>
    <t>Freshness</t>
  </si>
  <si>
    <t>No paid endpoint benchmark, measured error rate or confirmed real-time delivery SLA. SECForm4 public delay does not prove the tier Monid uses.</t>
  </si>
  <si>
    <t>Scenario limits</t>
  </si>
  <si>
    <t>One page and one entity per call, no retries by default. Fees exclude licences, tax, infrastructure, AI processing and backfill. Changing scopes/intervals is not proof of API capacity.</t>
  </si>
  <si>
    <t>Recalculation</t>
  </si>
  <si>
    <t>Formula cells include cached default results. Excel recalculates when opened/edited. Do not treat saved default results as updated after modifying the file with a non-calculating library.</t>
  </si>
  <si>
    <t>Assumption</t>
  </si>
  <si>
    <t>Editable value</t>
  </si>
  <si>
    <t>Meaning / limitation</t>
  </si>
  <si>
    <t>Users: smaller scenario</t>
  </si>
  <si>
    <t>Number of app users; not provider seats.</t>
  </si>
  <si>
    <t>Users: larger scenario</t>
  </si>
  <si>
    <t>Research lookups / user / workday</t>
  </si>
  <si>
    <t>Each lookup calls ONE selected endpoint. A multi-tool page sums those endpoint calls.</t>
  </si>
  <si>
    <t>Workdays / month</t>
  </si>
  <si>
    <t>Budget convention, not the actual exchange/filing calendar.</t>
  </si>
  <si>
    <t>Calendar days / month</t>
  </si>
  <si>
    <t>Budget convention.</t>
  </si>
  <si>
    <t>Followed security keys / user</t>
  </si>
  <si>
    <t>A key identifies one security/company query; not necessarily a unique issuer.</t>
  </si>
  <si>
    <t>Unique-union ratio</t>
  </si>
  <si>
    <t>Distinct followed keys / sum of watchlist lengths. Sharing requires permission. Minimum is one full watchlist.</t>
  </si>
  <si>
    <t>Regular market hours / day</t>
  </si>
  <si>
    <t>US regular-session budget; extended and global sessions require a larger setting.</t>
  </si>
  <si>
    <t>Market polling interval: minutes</t>
  </si>
  <si>
    <t>Proposed polling only; does not establish real-time data.</t>
  </si>
  <si>
    <t>News active hours / calendar day</t>
  </si>
  <si>
    <t>Hourly news monitoring; not 24-hour coverage.</t>
  </si>
  <si>
    <t>News polling interval: minutes</t>
  </si>
  <si>
    <t>Hourly polling. New items can wait up to a polling interval plus upstream lag.</t>
  </si>
  <si>
    <t>Filing active hours / workday</t>
  </si>
  <si>
    <t>Illustrative window, not an exact EDGAR schedule; gaps need catch-up.</t>
  </si>
  <si>
    <t>Global insider polling: minutes</t>
  </si>
  <si>
    <t>One page per poll by default; not evidence of complete market coverage.</t>
  </si>
  <si>
    <t>Company filing polling: minutes</t>
  </si>
  <si>
    <t>Hourly company/filing checks in the illustrative workday window.</t>
  </si>
  <si>
    <t>Daily checks / calendar day</t>
  </si>
  <si>
    <t>Daily snapshots. Event-driven caching may reduce traffic.</t>
  </si>
  <si>
    <t>Lookup cache-miss fraction</t>
  </si>
  <si>
    <t>Applies only to demand-only lookups in the regular-feed scenario.</t>
  </si>
  <si>
    <t>Crypto active hours / calendar day</t>
  </si>
  <si>
    <t>Optional crypto endpoint only, two assets by default.</t>
  </si>
  <si>
    <t>On-chain mapping interval: minutes</t>
  </si>
  <si>
    <t>Venue mappings, not a corporate crypto-holdings or trade feed.</t>
  </si>
  <si>
    <t>Premarket hours / workday</t>
  </si>
  <si>
    <t>Illustrative US premarket monitoring window; confirm source session coverage.</t>
  </si>
  <si>
    <t>Profile key</t>
  </si>
  <si>
    <t>Proposed cadence</t>
  </si>
  <si>
    <t>Polls / key / month</t>
  </si>
  <si>
    <t>entity_market</t>
  </si>
  <si>
    <t>Per security: every 5 min in regular market hours</t>
  </si>
  <si>
    <t>entity</t>
  </si>
  <si>
    <t>global_market</t>
  </si>
  <si>
    <t>Shared market list: every 5 min in regular hours</t>
  </si>
  <si>
    <t>global</t>
  </si>
  <si>
    <t>entity_news</t>
  </si>
  <si>
    <t>Per company: hourly, 16 h/day, 30 days</t>
  </si>
  <si>
    <t>entity_hourly</t>
  </si>
  <si>
    <t>Per company: hourly, 16 h/day, 22 workdays</t>
  </si>
  <si>
    <t>global_insider</t>
  </si>
  <si>
    <t>Shared disclosure list: 15 min, 16 h, 22 workdays</t>
  </si>
  <si>
    <t>entity_daily</t>
  </si>
  <si>
    <t>Per company/security: once daily</t>
  </si>
  <si>
    <t>global_daily</t>
  </si>
  <si>
    <t>Shared directory/calendar/list: once daily</t>
  </si>
  <si>
    <t>lookup_demand</t>
  </si>
  <si>
    <t>Demand-only lookup, 50% cache misses</t>
  </si>
  <si>
    <t>demand</t>
  </si>
  <si>
    <t>entity_crypto</t>
  </si>
  <si>
    <t>Optional crypto: every 5 min, 24 h/day</t>
  </si>
  <si>
    <t>entity_onchain</t>
  </si>
  <si>
    <t>Tokenized/perpetual venues: hourly, 24 h/day</t>
  </si>
  <si>
    <t>global_premarket</t>
  </si>
  <si>
    <t>Shared premarket list: every 5 min, 5.5 h, 22 days</t>
  </si>
  <si>
    <t>ID</t>
  </si>
  <si>
    <t>Provider</t>
  </si>
  <si>
    <t>Endpoint</t>
  </si>
  <si>
    <t>What it provides</t>
  </si>
  <si>
    <t>Company coverage</t>
  </si>
  <si>
    <t>Accuracy assessment</t>
  </si>
  <si>
    <t>Freshness / real time</t>
  </si>
  <si>
    <t>Response speed</t>
  </si>
  <si>
    <t>MVP relevance</t>
  </si>
  <si>
    <t>Possible platform feature</t>
  </si>
  <si>
    <t>Specific limitations</t>
  </si>
  <si>
    <t>Official source status</t>
  </si>
  <si>
    <t>Permissions</t>
  </si>
  <si>
    <t>Operational safety</t>
  </si>
  <si>
    <t>Confirmed users</t>
  </si>
  <si>
    <t>Intended users (assessment)</t>
  </si>
  <si>
    <t>Exact catalogue source</t>
  </si>
  <si>
    <t>T01</t>
  </si>
  <si>
    <t>nasdaq</t>
  </si>
  <si>
    <t>/get_stock_earnings</t>
  </si>
  <si>
    <t>Reported earnings and expectations</t>
  </si>
  <si>
    <t>Unknown Monid count; US exchange-listed source scope, tool dependent.</t>
  </si>
  <si>
    <t>Good source-checking potential; reconcile selected values to company filings.</t>
  </si>
  <si>
    <t>Reporting-cycle data, often quarterly/annual; monitor revisions.</t>
  </si>
  <si>
    <t>Unmeasured: no paid endpoint latency benchmark or confirmed Monid SLA.</t>
  </si>
  <si>
    <t>High</t>
  </si>
  <si>
    <t>Company earnings card and results alerts</t>
  </si>
  <si>
    <t>Actuals and analyst estimates must remain separate; expected dates can change.</t>
  </si>
  <si>
    <t>See P1 source/provenance assessment; Monid authority unverified.</t>
  </si>
  <si>
    <t>See P1 rights assessment; customer display/storage grant unverified.</t>
  </si>
  <si>
    <t>Not security-audited. Server-side credentials, endpoint allowlist, input validation and spending caps proposed; no verified Monid SLA or contractual security assurance.</t>
  </si>
  <si>
    <t>No named customer verified for this exact Monid connector.</t>
  </si>
  <si>
    <t>Fundamental analysts and company researchers</t>
  </si>
  <si>
    <t>Metadata: T01</t>
  </si>
  <si>
    <t>T02</t>
  </si>
  <si>
    <t>/get_stock_screener</t>
  </si>
  <si>
    <t>Filter listed stocks</t>
  </si>
  <si>
    <t>Useful discovery subset; ranking/filter completeness unmeasured.</t>
  </si>
  <si>
    <t>Depends on underlying fields and refresh schedule; not a full market tape.</t>
  </si>
  <si>
    <t>Medium</t>
  </si>
  <si>
    <t>Catalogue discovery and saved screens</t>
  </si>
  <si>
    <t>Universe, pagination and filter parity with Nasdaq are unverified.</t>
  </si>
  <si>
    <t>Investors and company/market researchers</t>
  </si>
  <si>
    <t>Metadata: T02</t>
  </si>
  <si>
    <t>T03</t>
  </si>
  <si>
    <t>/get_earnings_calendar</t>
  </si>
  <si>
    <t>Upcoming earnings dates</t>
  </si>
  <si>
    <t>Useful for planning; flag estimated, confirmed, postponed and cancelled states.</t>
  </si>
  <si>
    <t>Event-driven revisions; expected dates can change.</t>
  </si>
  <si>
    <t>Shared earnings calendar matched to holdings</t>
  </si>
  <si>
    <t>Some dates are algorithmic estimates; mark confirmed versus estimated.</t>
  </si>
  <si>
    <t>Metadata: T03</t>
  </si>
  <si>
    <t>T04</t>
  </si>
  <si>
    <t>/get_stock_sec_filings</t>
  </si>
  <si>
    <t>Company filing records and source links</t>
  </si>
  <si>
    <t>High auditability only when accession/source links survive.</t>
  </si>
  <si>
    <t>After filing publication, not when the underlying event happened.</t>
  </si>
  <si>
    <t>Company filing timeline and original-document links</t>
  </si>
  <si>
    <t>General filing discovery; confirm accession IDs, form filters and amendments.</t>
  </si>
  <si>
    <t>Metadata: T04</t>
  </si>
  <si>
    <t>T05</t>
  </si>
  <si>
    <t>/get_mutual_fund_quote</t>
  </si>
  <si>
    <t>Mutual-fund price or NAV snapshot</t>
  </si>
  <si>
    <t>Check official fund NAV and valuation date.</t>
  </si>
  <si>
    <t>Periodic NAV; not an intraday equity feed.</t>
  </si>
  <si>
    <t>Medium; optional feature</t>
  </si>
  <si>
    <t>Optional fund facts panel</t>
  </si>
  <si>
    <t>Fund NAV is typically periodic; this is not a live stock quote or company count.</t>
  </si>
  <si>
    <t>Metadata: T05</t>
  </si>
  <si>
    <t>T06</t>
  </si>
  <si>
    <t>/get_stock_dividend_history</t>
  </si>
  <si>
    <t>Past dividend payments</t>
  </si>
  <si>
    <t>Company income and distribution history</t>
  </si>
  <si>
    <t>Past dividends do not guarantee future payments; distinguish ex-date and payment date.</t>
  </si>
  <si>
    <t>Metadata: T06</t>
  </si>
  <si>
    <t>T07</t>
  </si>
  <si>
    <t>/get_stock_quote</t>
  </si>
  <si>
    <t>Stock quote snapshot</t>
  </si>
  <si>
    <t>Useful for a timestamped price display; correctness unmeasured through Monid.</t>
  </si>
  <si>
    <t>Potentially frequent upstream updates; no verified Monid real-time delivery.</t>
  </si>
  <si>
    <t>Company header and watchlist price card</t>
  </si>
  <si>
    <t>Website quote updates do not establish Monid feed latency or exchange entitlement.</t>
  </si>
  <si>
    <t>Metadata: T07</t>
  </si>
  <si>
    <t>T08</t>
  </si>
  <si>
    <t>/search_symbols</t>
  </si>
  <si>
    <t>Search security identifiers</t>
  </si>
  <si>
    <t>Useful candidate matching; validate exchange, instrument type and issuer identifiers.</t>
  </si>
  <si>
    <t>Mostly reference data; newly listed, delisted and renamed securities need updates.</t>
  </si>
  <si>
    <t>Catalogue symbol resolver</t>
  </si>
  <si>
    <t>Interactive search is not a complete security master; exchange collisions need resolution.</t>
  </si>
  <si>
    <t>Catalogue users and data operations</t>
  </si>
  <si>
    <t>Metadata: T08</t>
  </si>
  <si>
    <t>T09</t>
  </si>
  <si>
    <t>/get_market_indices</t>
  </si>
  <si>
    <t>Broad market index overview</t>
  </si>
  <si>
    <t>Global markets overview</t>
  </si>
  <si>
    <t>Index levels are not company coverage; provider-specific index delays apply.</t>
  </si>
  <si>
    <t>Metadata: T09</t>
  </si>
  <si>
    <t>T10</t>
  </si>
  <si>
    <t>/get_stock_historical_quotes</t>
  </si>
  <si>
    <t>Historical stock price observations</t>
  </si>
  <si>
    <t>Validate adjustments, gaps, timestamps and price units against an authorised reference.</t>
  </si>
  <si>
    <t>Historical bars; interval size does not prove delivery latency.</t>
  </si>
  <si>
    <t>Company historical price chart</t>
  </si>
  <si>
    <t>Confirm adjusted prices, corporate actions and maximum history. The same-named Parse wrapper describes end-of-day history only; its relationship to Monid is unverified.</t>
  </si>
  <si>
    <t>Metadata: T10</t>
  </si>
  <si>
    <t>T12</t>
  </si>
  <si>
    <t>/get_market_movers</t>
  </si>
  <si>
    <t>Leading price movers</t>
  </si>
  <si>
    <t>Market discovery panel</t>
  </si>
  <si>
    <t>Ranking is a selected subset, not all stocks; volume and reference session matter.</t>
  </si>
  <si>
    <t>Metadata: T12</t>
  </si>
  <si>
    <t>T13</t>
  </si>
  <si>
    <t>/get_etf_quote</t>
  </si>
  <si>
    <t>ETF quote snapshot</t>
  </si>
  <si>
    <t>ETF catalogue extension</t>
  </si>
  <si>
    <t>ETFs represent funds, not additional operating companies.</t>
  </si>
  <si>
    <t>Metadata: T13</t>
  </si>
  <si>
    <t>T14</t>
  </si>
  <si>
    <t>/get_cryptocurrency_quote</t>
  </si>
  <si>
    <t>Cryptocurrency quote snapshot</t>
  </si>
  <si>
    <t>Optional cross-asset market panel</t>
  </si>
  <si>
    <t>Outside company coverage; venue, pair and 24-hour timing need confirmation.</t>
  </si>
  <si>
    <t>Metadata: T14</t>
  </si>
  <si>
    <t>T15</t>
  </si>
  <si>
    <t>/get_stock_news</t>
  </si>
  <si>
    <t>Company-related headlines and links</t>
  </si>
  <si>
    <t>Relevance and factual accuracy unmeasured; retain publisher and original URL.</t>
  </si>
  <si>
    <t>Article publication plus vendor collection lag; no measured Monid SLA.</t>
  </si>
  <si>
    <t>Company news cards and My Stocks feed</t>
  </si>
  <si>
    <t>Full text, image rights, publisher identity and ticker relevance are not established.</t>
  </si>
  <si>
    <t>Portfolio investors and company-news readers</t>
  </si>
  <si>
    <t>Metadata: T15</t>
  </si>
  <si>
    <t>T16</t>
  </si>
  <si>
    <t>/get_stock_financials</t>
  </si>
  <si>
    <t>Financial statement values</t>
  </si>
  <si>
    <t>Company financials and comparisons</t>
  </si>
  <si>
    <t>Confirm units, periods, currencies and restatements. The same-named Parse wrapper advertises four financial periods; Monid equivalence/history depth unverified.</t>
  </si>
  <si>
    <t>Metadata: T16</t>
  </si>
  <si>
    <t>T17</t>
  </si>
  <si>
    <t>/get_index_detail</t>
  </si>
  <si>
    <t>Details for a selected index</t>
  </si>
  <si>
    <t>Benchmark comparison panel</t>
  </si>
  <si>
    <t>Index definitions and permissions differ from stock data.</t>
  </si>
  <si>
    <t>Metadata: T17</t>
  </si>
  <si>
    <t>T18</t>
  </si>
  <si>
    <t>/get_stock_short_interest</t>
  </si>
  <si>
    <t>Reported short positions</t>
  </si>
  <si>
    <t>Validate reporting date and denominator; short interest is not short-sale volume.</t>
  </si>
  <si>
    <t>Periodic reported positions, not a live position feed.</t>
  </si>
  <si>
    <t>Company positioning context</t>
  </si>
  <si>
    <t>Short interest is a periodic position report, not real-time short-sale volume.</t>
  </si>
  <si>
    <t>Metadata: T18</t>
  </si>
  <si>
    <t>T19</t>
  </si>
  <si>
    <t>/get_stock_option_chain</t>
  </si>
  <si>
    <t>Listed option strikes and quotes</t>
  </si>
  <si>
    <t>Validate strike, expiry, contract multiplier, quote side and snapshot time.</t>
  </si>
  <si>
    <t>Intraday derivative snapshots; Monid delay and chain completeness unverified.</t>
  </si>
  <si>
    <t>Optional derivatives research panel</t>
  </si>
  <si>
    <t>Coverage only for optionable securities; chain depth, Greeks and latency unverified.</t>
  </si>
  <si>
    <t>Advanced derivatives researchers</t>
  </si>
  <si>
    <t>Metadata: T19</t>
  </si>
  <si>
    <t>T20</t>
  </si>
  <si>
    <t>/get_retail_trading_activity</t>
  </si>
  <si>
    <t>Retail trading activity rankings</t>
  </si>
  <si>
    <t>Validate methodology, source fields and period consistency.</t>
  </si>
  <si>
    <t>Related official RTAT dataset: daily, one-day reporting lag. Monid source tier, list breadth and additional delivery lag unverified.</t>
  </si>
  <si>
    <t>Separate retail sentiment panel</t>
  </si>
  <si>
    <t>Retail flows are not insider activity. The separate official RTAT dataset is daily with a one-day reporting lag; Monid list size, tier and additional latency are unverified.</t>
  </si>
  <si>
    <t>Metadata: T20</t>
  </si>
  <si>
    <t>T21</t>
  </si>
  <si>
    <t>yahoo-finance</t>
  </si>
  <si>
    <t>/get_historical_data</t>
  </si>
  <si>
    <t>Historical security prices</t>
  </si>
  <si>
    <t>Unknown Monid count; global exchange support at source.</t>
  </si>
  <si>
    <t>Company and benchmark charts</t>
  </si>
  <si>
    <t>Exchange/timezone and adjustment settings need verification; source availability varies.</t>
  </si>
  <si>
    <t>See P2 source/provenance assessment; Monid authority unverified.</t>
  </si>
  <si>
    <t>See P2 rights assessment; customer display/storage grant unverified.</t>
  </si>
  <si>
    <t>Metadata: T21</t>
  </si>
  <si>
    <t>T22</t>
  </si>
  <si>
    <t>/get_company_profile</t>
  </si>
  <si>
    <t>Company identity and business description</t>
  </si>
  <si>
    <t>Verify identity, business description and field observation dates.</t>
  </si>
  <si>
    <t>Mixed reference data; field-level freshness varies.</t>
  </si>
  <si>
    <t>Catalogue company profile</t>
  </si>
  <si>
    <t>Ticker coverage is not news coverage; profile freshness and source licence unverified.</t>
  </si>
  <si>
    <t>Metadata: T22</t>
  </si>
  <si>
    <t>T23</t>
  </si>
  <si>
    <t>Company or market news discovery</t>
  </si>
  <si>
    <t>All News and company cards</t>
  </si>
  <si>
    <t>Confirm per-ticker input and company matching; no blanket full-text or image licence.</t>
  </si>
  <si>
    <t>Metadata: T23</t>
  </si>
  <si>
    <t>T24</t>
  </si>
  <si>
    <t>/get_quote</t>
  </si>
  <si>
    <t>Security quote snapshot</t>
  </si>
  <si>
    <t>Watchlist and company price display</t>
  </si>
  <si>
    <t>Yahoo lists exchange-dependent delays; do not label the wrapper uniformly real time.</t>
  </si>
  <si>
    <t>Metadata: T24</t>
  </si>
  <si>
    <t>T25</t>
  </si>
  <si>
    <t>/search_tickers</t>
  </si>
  <si>
    <t>Search ticker identifiers</t>
  </si>
  <si>
    <t>Catalogue search and disambiguation</t>
  </si>
  <si>
    <t>Search returns candidate securities, not a complete company universe.</t>
  </si>
  <si>
    <t>Metadata: T25</t>
  </si>
  <si>
    <t>T26</t>
  </si>
  <si>
    <t>finviz</t>
  </si>
  <si>
    <t>/get_screener_results</t>
  </si>
  <si>
    <t>Screen stocks by research criteria</t>
  </si>
  <si>
    <t>Website: 5,613 stock ticker rows observed; exact Monid/per-tool count unknown.</t>
  </si>
  <si>
    <t>Saved catalogue screens</t>
  </si>
  <si>
    <t>US-listed source scope. The same-named Parse wrapper returns up to 20 first-page results without pagination; Monid equivalence, filters and pagination remain unverified.</t>
  </si>
  <si>
    <t>See P3 source/provenance assessment; Monid authority unverified.</t>
  </si>
  <si>
    <t>See P3 rights assessment; customer display/storage grant unverified.</t>
  </si>
  <si>
    <t>Metadata: T26</t>
  </si>
  <si>
    <t>T28</t>
  </si>
  <si>
    <t>/get_ticker_sectors_with_performance</t>
  </si>
  <si>
    <t>Sector labels and performance context</t>
  </si>
  <si>
    <t>Dependent on underlying source updates and calculation window.</t>
  </si>
  <si>
    <t>Portfolio sector exposure and movers</t>
  </si>
  <si>
    <t>Batch size and calculation window are unverified; sector classification can differ by source.</t>
  </si>
  <si>
    <t>Metadata: T28</t>
  </si>
  <si>
    <t>T29</t>
  </si>
  <si>
    <t>/get_stock_news_sentiment</t>
  </si>
  <si>
    <t>Sentiment attached to stock news</t>
  </si>
  <si>
    <t>Lower evidential weight: an unvalidated derived label, not factual verification.</t>
  </si>
  <si>
    <t>Follows underlying news; score refresh and method unverified.</t>
  </si>
  <si>
    <t>Optional labelled sentiment beside source articles</t>
  </si>
  <si>
    <t>Scoring method is not established for Monid; sentiment is not factual verification or a full news feed.</t>
  </si>
  <si>
    <t>News researchers using labelled analytical context</t>
  </si>
  <si>
    <t>Metadata: T29</t>
  </si>
  <si>
    <t>T30</t>
  </si>
  <si>
    <t>Top gaining or losing stocks</t>
  </si>
  <si>
    <t>Global market overview</t>
  </si>
  <si>
    <t>Session and ranking scope need confirmation. Same-named Parse documentation describes first-page-only output capped at 20; Monid equivalence and full coverage unverified.</t>
  </si>
  <si>
    <t>Metadata: T30</t>
  </si>
  <si>
    <t>T31</t>
  </si>
  <si>
    <t>marketbeat</t>
  </si>
  <si>
    <t>/get_financial_statements</t>
  </si>
  <si>
    <t>Company financial statements</t>
  </si>
  <si>
    <t>Website claim: 20,000 company profiles; Monid/per-tool count unknown.</t>
  </si>
  <si>
    <t>Company financial tabs</t>
  </si>
  <si>
    <t>Currency, history depth and restatement handling unverified; costs twice the basic endpoint rate.</t>
  </si>
  <si>
    <t>See P4 source/provenance assessment; Monid authority unverified.</t>
  </si>
  <si>
    <t>See P4 rights assessment; customer display/storage grant unverified.</t>
  </si>
  <si>
    <t>Metadata: T31</t>
  </si>
  <si>
    <t>T33</t>
  </si>
  <si>
    <t>/get_analyst_ratings</t>
  </si>
  <si>
    <t>Analyst-rating data; exact Monid aggregation unverified</t>
  </si>
  <si>
    <t>Assess attribution and contributor coverage; not a verified future outcome.</t>
  </si>
  <si>
    <t>May be monthly aggregate history; do not promise individual upgrade/downgrade alerts or live delivery.</t>
  </si>
  <si>
    <t>Analyst sentiment history and consensus context</t>
  </si>
  <si>
    <t>Same-named Parse tool describes monthly rating counts, not individual broker alerts; Monid equivalence and exact fields unverified. Opinions are not verified future outcomes.</t>
  </si>
  <si>
    <t>Metadata: T33</t>
  </si>
  <si>
    <t>T35</t>
  </si>
  <si>
    <t>/search_stocks</t>
  </si>
  <si>
    <t>Find stock records</t>
  </si>
  <si>
    <t>Company onboarding and catalogue search</t>
  </si>
  <si>
    <t>Website advertises 20,000 profiles; Monid supported symbols and pagination remain unverified.</t>
  </si>
  <si>
    <t>Metadata: T35</t>
  </si>
  <si>
    <t>T36</t>
  </si>
  <si>
    <t>/get_options_chain</t>
  </si>
  <si>
    <t>Option contracts and quotes</t>
  </si>
  <si>
    <t>Optional options panel</t>
  </si>
  <si>
    <t>Optionable securities only; same-named Parse wrapper lacks expiry filtering. Monid filter support, chain completeness and quote age unverified.</t>
  </si>
  <si>
    <t>Metadata: T36</t>
  </si>
  <si>
    <t>T37</t>
  </si>
  <si>
    <t>/get_stock_overview</t>
  </si>
  <si>
    <t>Company research snapshot</t>
  </si>
  <si>
    <t>Source website: FMV estimates update each minute; other Barchart data at least 10 minutes delayed. Monid field mix/lag unverified.</t>
  </si>
  <si>
    <t>Company overview page</t>
  </si>
  <si>
    <t>Mixed quote/profile fields; source FMV estimates are not necessarily exchange last trades. Fetch time does not establish every field's observation time. Budget is a daily research snapshot, not a live-price panel; refresh quote fields separately.</t>
  </si>
  <si>
    <t>Metadata: T37</t>
  </si>
  <si>
    <t>T38</t>
  </si>
  <si>
    <t>/get_earnings</t>
  </si>
  <si>
    <t>Earnings estimates and historical results context</t>
  </si>
  <si>
    <t>Reconcile actuals to issuer releases; analyst estimates are opinions and need period/contributor labels.</t>
  </si>
  <si>
    <t>Company earnings comparison card</t>
  </si>
  <si>
    <t>Separate consensus estimates and reported results; upcoming calendar fields and structured surprise/beat-miss flags not established for this Monid tool.</t>
  </si>
  <si>
    <t>Metadata: T38</t>
  </si>
  <si>
    <t>T39</t>
  </si>
  <si>
    <t>/get_competitors</t>
  </si>
  <si>
    <t>Peer comparison data</t>
  </si>
  <si>
    <t>Peer comparison and catalogue navigation</t>
  </si>
  <si>
    <t>Same-named Parse tool compares financial metrics with a primary competitor; complete peer-universe and Monid schema unverified. Not a supply-chain relationship map.</t>
  </si>
  <si>
    <t>Metadata: T39</t>
  </si>
  <si>
    <t>T40</t>
  </si>
  <si>
    <t>/get_marketrank</t>
  </si>
  <si>
    <t>Proprietary MarketRank score</t>
  </si>
  <si>
    <t>Lower evidential weight: proprietary model; no independent calibration established.</t>
  </si>
  <si>
    <t>MarketBeat says scores change during the trading day as inputs arrive; Monid refresh/lag unverified. A changing score is not a reported fact.</t>
  </si>
  <si>
    <t>Optional explained research score</t>
  </si>
  <si>
    <t>Proprietary ranking is not an accuracy guarantee, probability or investment recommendation.</t>
  </si>
  <si>
    <t>Metadata: T40</t>
  </si>
  <si>
    <t>T41</t>
  </si>
  <si>
    <t>/get_stock_headlines</t>
  </si>
  <si>
    <t>Company headline discovery</t>
  </si>
  <si>
    <t>Company news and portfolio headlines</t>
  </si>
  <si>
    <t>No established full-body/image entitlement. Same-named Parse tool exposes roughly 5–10 recent headline links with relative dates; Monid page size, pagination and exact fields unverified.</t>
  </si>
  <si>
    <t>Metadata: T41</t>
  </si>
  <si>
    <t>T42</t>
  </si>
  <si>
    <t>/get_short_interest</t>
  </si>
  <si>
    <t>Reported short-interest metrics</t>
  </si>
  <si>
    <t>Company positioning card</t>
  </si>
  <si>
    <t>Periodic disclosed positions; short volume and short interest must not be merged.</t>
  </si>
  <si>
    <t>Metadata: T42</t>
  </si>
  <si>
    <t>T43</t>
  </si>
  <si>
    <t>/get_profitability_metrics</t>
  </si>
  <si>
    <t>Profitability ratios and margins</t>
  </si>
  <si>
    <t>Financial comparison table</t>
  </si>
  <si>
    <t>TTM, fiscal-period and sector accounting differences can make ratios incomparable.</t>
  </si>
  <si>
    <t>Metadata: T43</t>
  </si>
  <si>
    <t>T44</t>
  </si>
  <si>
    <t>/get_stock_forecast</t>
  </si>
  <si>
    <t>Analyst target and forecast summary</t>
  </si>
  <si>
    <t>Changes after analyst publications; stale contributor estimates possible.</t>
  </si>
  <si>
    <t>Labelled analyst expectations panel</t>
  </si>
  <si>
    <t>Forecasts are uncertain opinions; contributor population and stale targets require checks.</t>
  </si>
  <si>
    <t>Metadata: T44</t>
  </si>
  <si>
    <t>T45</t>
  </si>
  <si>
    <t>stockanalysis</t>
  </si>
  <si>
    <t>/get_stock_list</t>
  </si>
  <si>
    <t>Stock-list lookup; full-universe coverage unverified</t>
  </si>
  <si>
    <t>Website claim: 130,000+ tradable symbols, not companies; Monid count unknown.</t>
  </si>
  <si>
    <t>Validate list membership, selection rules and listing identity; do not equate list size with company-universe coverage.</t>
  </si>
  <si>
    <t>List membership and snapshot values can change; no verified refresh or completeness commitment.</t>
  </si>
  <si>
    <t>Curated stock-discovery lists</t>
  </si>
  <si>
    <t>Same-named Parse tool retrieves a curated list by URL slug; it is not evidence of a full supported-symbol directory. Monid parameters/relationship unverified.</t>
  </si>
  <si>
    <t>See P5 source/provenance assessment; Monid authority unverified.</t>
  </si>
  <si>
    <t>See P5 rights assessment; customer display/storage grant unverified.</t>
  </si>
  <si>
    <t>Metadata: T45</t>
  </si>
  <si>
    <t>T46</t>
  </si>
  <si>
    <t>Search stock records</t>
  </si>
  <si>
    <t>Catalogue symbol matching</t>
  </si>
  <si>
    <t>Search completeness and exchange-qualified IDs unverified; programmatic-use restriction unresolved.</t>
  </si>
  <si>
    <t>Metadata: T46</t>
  </si>
  <si>
    <t>T47</t>
  </si>
  <si>
    <t>/get_stock_financials_income</t>
  </si>
  <si>
    <t>Income-statement figures</t>
  </si>
  <si>
    <t>Company income-statement tab</t>
  </si>
  <si>
    <t>Income statement only; full balance-sheet/cash-flow time series not established. Same-named Parse tool describes annual data; Monid quarterly support and history unverified.</t>
  </si>
  <si>
    <t>Metadata: T47</t>
  </si>
  <si>
    <t>T48</t>
  </si>
  <si>
    <t>/get_market_movers_premarket</t>
  </si>
  <si>
    <t>Premarket price movers</t>
  </si>
  <si>
    <t>Source mover pages update approximately once per minute on refresh; Monid is an untested snapshot, not proven streaming.</t>
  </si>
  <si>
    <t>Premarket overview</t>
  </si>
  <si>
    <t>Premarket subset; same-named Parse tool can return an empty active list outside that session. Universe/filter completeness unverified.</t>
  </si>
  <si>
    <t>Metadata: T48</t>
  </si>
  <si>
    <t>T49</t>
  </si>
  <si>
    <t>/get_stock_statistics</t>
  </si>
  <si>
    <t>Company valuation and trading metrics</t>
  </si>
  <si>
    <t>Company statistics panel</t>
  </si>
  <si>
    <t>Derived metrics require consistent price date, shares, accounting period and currency.</t>
  </si>
  <si>
    <t>Metadata: T49</t>
  </si>
  <si>
    <t>T50</t>
  </si>
  <si>
    <t>/get_ipo_calendar</t>
  </si>
  <si>
    <t>Upcoming IPO calendar</t>
  </si>
  <si>
    <t>IPO discovery and reminders</t>
  </si>
  <si>
    <t>Dates can be tentative, postponed or withdrawn; historical/recent IPO coverage not established. Calendar entries are not ongoing news coverage.</t>
  </si>
  <si>
    <t>Metadata: T50</t>
  </si>
  <si>
    <t>T51</t>
  </si>
  <si>
    <t>Stock quote/overview snapshot; exact Monid shape unverified</t>
  </si>
  <si>
    <t>Verify ticker/exchange, price basis, market session and observation time; business-description fields are not established.</t>
  </si>
  <si>
    <t>Source US quote pages refresh in seconds/stream by plan; other markets may be 15-minute delayed or EOD. Monid delivery unverified.</t>
  </si>
  <si>
    <t>Company quote and market-session panel</t>
  </si>
  <si>
    <t>Same-named Parse tool is a quote overview; do not promise a company business profile. Source offers no official programmatic product.</t>
  </si>
  <si>
    <t>Metadata: T51</t>
  </si>
  <si>
    <t>T52</t>
  </si>
  <si>
    <t>defillama</t>
  </si>
  <si>
    <t>/equities/v1/statements</t>
  </si>
  <si>
    <t>Equity financial statements</t>
  </si>
  <si>
    <t>Unknown exact count; supported ticker/country directory exists.</t>
  </si>
  <si>
    <t>Source-aware financials tab</t>
  </si>
  <si>
    <t>Beta coverage; period, schema and restatement completeness need per-company validation.</t>
  </si>
  <si>
    <t>See P6 source/provenance assessment; Monid authority unverified.</t>
  </si>
  <si>
    <t>See P6 rights assessment; customer display/storage grant unverified.</t>
  </si>
  <si>
    <t>Metadata: T52</t>
  </si>
  <si>
    <t>T53</t>
  </si>
  <si>
    <t>/equities/v1/filings</t>
  </si>
  <si>
    <t>Filing metadata and original-document links</t>
  </si>
  <si>
    <t>High auditability when original document URLs resolve to the intended issuer; explicit accession fields are not promised.</t>
  </si>
  <si>
    <t>Company documents timeline</t>
  </si>
  <si>
    <t>Links and metadata do not establish full document bodies, earnings news or reproduction rights.</t>
  </si>
  <si>
    <t>Metadata: T53</t>
  </si>
  <si>
    <t>T54</t>
  </si>
  <si>
    <t>/equities/v1/summary</t>
  </si>
  <si>
    <t>Compact current-market snapshot</t>
  </si>
  <si>
    <t>Company price and valuation summary</t>
  </si>
  <si>
    <t>Response lacks ticker/name; bind to requested ticker plus country. Mixed market and financial fields do not necessarily share one observation time.</t>
  </si>
  <si>
    <t>Metadata: T54</t>
  </si>
  <si>
    <t>T55</t>
  </si>
  <si>
    <t>/equities/v1/price-history</t>
  </si>
  <si>
    <t>Company price time series</t>
  </si>
  <si>
    <t>Company historical chart</t>
  </si>
  <si>
    <t>Five-minute intraday bars are best effort and may fall back to daily; not a tick stream.</t>
  </si>
  <si>
    <t>Metadata: T55</t>
  </si>
  <si>
    <t>T56</t>
  </si>
  <si>
    <t>/equities/v1/companies-list</t>
  </si>
  <si>
    <t>Supported company directory</t>
  </si>
  <si>
    <t>Coverage audit and catalogue matching</t>
  </si>
  <si>
    <t>This is the relevant universe to test; exact count and Monid coverage are not publicly established.</t>
  </si>
  <si>
    <t>Metadata: T56</t>
  </si>
  <si>
    <t>T57</t>
  </si>
  <si>
    <t>/equities/v1/ohlcv</t>
  </si>
  <si>
    <t>OHLCV price candles</t>
  </si>
  <si>
    <t>Candlestick research chart</t>
  </si>
  <si>
    <t>Short windows use best-effort 5-minute candles with possible daily fallback; longer windows are daily. Verify session, adjustments and returned interval.</t>
  </si>
  <si>
    <t>Metadata: T57</t>
  </si>
  <si>
    <t>T58</t>
  </si>
  <si>
    <t>/equities/v1/onchain</t>
  </si>
  <si>
    <t>Tokenized-equity and perpetual-contract venue mappings</t>
  </si>
  <si>
    <t>Verify underlying stock, token issuer, contract type and venue identity; derivative/token exposure is not direct ownership of the underlying stock.</t>
  </si>
  <si>
    <t>Official API documents an hourly snapshot; no guaranteed Monid ingestion lag.</t>
  </si>
  <si>
    <t>Low for core news; niche feature</t>
  </si>
  <si>
    <t>Optional venues offering stock-linked token or perpetual exposure</t>
  </si>
  <si>
    <t>US-listed tickers only; no history. Maps stock-linked exposure venues, not company-owned crypto or treasury holdings; token issuer differs from underlying listed company.</t>
  </si>
  <si>
    <t>Advanced crypto/equity researchers</t>
  </si>
  <si>
    <t>Metadata: T58</t>
  </si>
  <si>
    <t>T59</t>
  </si>
  <si>
    <t>/equities/v1/dimensions</t>
  </si>
  <si>
    <t>Quarterly/annual revenue, holder-revenue, earnings and share series</t>
  </si>
  <si>
    <t>Company financial-trend comparisons</t>
  </si>
  <si>
    <t>Defined financial metric series, not arbitrary operational KPIs or business/geographic segments; validate periods and company completeness.</t>
  </si>
  <si>
    <t>Metadata: T59</t>
  </si>
  <si>
    <t>T11</t>
  </si>
  <si>
    <t>/get_stock_institutional_holdings</t>
  </si>
  <si>
    <t>Institutional ownership records</t>
  </si>
  <si>
    <t>Reconcile reporting manager, quarter, security class and amendments.</t>
  </si>
  <si>
    <t>Periodic, historically reported holdings; not real-time ownership.</t>
  </si>
  <si>
    <t>Company ownership and investor changes</t>
  </si>
  <si>
    <t>Institutional filings describe historical positions; not same-day insider trades.</t>
  </si>
  <si>
    <t>Company and institutional-portfolio researchers</t>
  </si>
  <si>
    <t>Metadata: T11</t>
  </si>
  <si>
    <t>T27</t>
  </si>
  <si>
    <t>/get_insider_trading</t>
  </si>
  <si>
    <t>Recent reported insider transactions</t>
  </si>
  <si>
    <t>High auditability with original filing; parsing and transaction interpretation need checks.</t>
  </si>
  <si>
    <t>Disclosure-lagged; vendor ingestion lag and Monid tier unmeasured.</t>
  </si>
  <si>
    <t>Shared insider activity feed filtered to holdings</t>
  </si>
  <si>
    <t>Verify original forms, transaction codes, dates and amendments. A same-named Parse sample labels a Form 144 proposed-sale link as Form 4; this is not a tested Monid defect or proof of a completed sale.</t>
  </si>
  <si>
    <t>Investors studying executive disclosures</t>
  </si>
  <si>
    <t>Metadata: T27</t>
  </si>
  <si>
    <t>T32</t>
  </si>
  <si>
    <t>/get_institutional_ownership</t>
  </si>
  <si>
    <t>Institutional holders and ownership changes</t>
  </si>
  <si>
    <t>Ownership tab with filing dates</t>
  </si>
  <si>
    <t>Historical institution positions are not director/officer transactions or current portfolios.</t>
  </si>
  <si>
    <t>Metadata: T32</t>
  </si>
  <si>
    <t>T34</t>
  </si>
  <si>
    <t>/get_insider_trades</t>
  </si>
  <si>
    <t>Company insider transactions</t>
  </si>
  <si>
    <t>Company insider timeline and holding alerts</t>
  </si>
  <si>
    <t>Reported transactions need original SEC links, codes and amendment handling.</t>
  </si>
  <si>
    <t>Metadata: T34</t>
  </si>
  <si>
    <t>T60</t>
  </si>
  <si>
    <t>secform4</t>
  </si>
  <si>
    <t>/search</t>
  </si>
  <si>
    <t>Search insider and ownership filings</t>
  </si>
  <si>
    <t>Unknown company/CIK count; SEC-derived issuer/owner universe.</t>
  </si>
  <si>
    <t>Insider research search</t>
  </si>
  <si>
    <t>Search scope and pagination unverified; company and owner identifiers are different.</t>
  </si>
  <si>
    <t>See P7 source/provenance assessment; Monid authority unverified.</t>
  </si>
  <si>
    <t>See P7 rights assessment; customer display/storage grant unverified.</t>
  </si>
  <si>
    <t>Metadata: T60</t>
  </si>
  <si>
    <t>T61</t>
  </si>
  <si>
    <t>/get_13d_filings</t>
  </si>
  <si>
    <t>Activist or significant beneficial-ownership disclosures</t>
  </si>
  <si>
    <t>Verify original schedule, ownership basis, filer type and amendments.</t>
  </si>
  <si>
    <t>Disclosure-triggered; not a real-time transaction stream.</t>
  </si>
  <si>
    <t>Ownership-event alerts linked to original filings</t>
  </si>
  <si>
    <t>13D is beneficial ownership, not a complete trade tape; filing deadlines differ from Form 4.</t>
  </si>
  <si>
    <t>Ownership and event researchers</t>
  </si>
  <si>
    <t>Metadata: T61</t>
  </si>
  <si>
    <t>T62</t>
  </si>
  <si>
    <t>/get_insider_sales</t>
  </si>
  <si>
    <t>Reported insider sale list</t>
  </si>
  <si>
    <t>Shared insider-sales feed</t>
  </si>
  <si>
    <t>Public source module explicitly six months delayed; Monid entitlement and actual freshness unknown.</t>
  </si>
  <si>
    <t>Metadata: T62</t>
  </si>
  <si>
    <t>T63</t>
  </si>
  <si>
    <t>/get_significant_insider_buys</t>
  </si>
  <si>
    <t>Selected large insider purchases</t>
  </si>
  <si>
    <t>Prioritised insider alert queue</t>
  </si>
  <si>
    <t>Public source six-month delay; vendor selection threshold is not evidence of investment quality.</t>
  </si>
  <si>
    <t>Metadata: T63</t>
  </si>
  <si>
    <t>T64</t>
  </si>
  <si>
    <t>/get_institution_holders</t>
  </si>
  <si>
    <t>Institutional holders of an issuer</t>
  </si>
  <si>
    <t>Company ownership history</t>
  </si>
  <si>
    <t>Reported holdings lag quarter-end; holder population and security class matching matter.</t>
  </si>
  <si>
    <t>Metadata: T64</t>
  </si>
  <si>
    <t>T65</t>
  </si>
  <si>
    <t>/get_insider_buy_sell_ratios</t>
  </si>
  <si>
    <t>Aggregated insider purchase/sale ratios</t>
  </si>
  <si>
    <t>Labelled insider-activity indicator</t>
  </si>
  <si>
    <t>Public source six-month delay; ratios depend on transaction types, window and reporting population.</t>
  </si>
  <si>
    <t>Metadata: T65</t>
  </si>
  <si>
    <t>T66</t>
  </si>
  <si>
    <t>/get_stock_options</t>
  </si>
  <si>
    <t>Insider option-related transactions</t>
  </si>
  <si>
    <t>Compensation versus cash-purchase explanation</t>
  </si>
  <si>
    <t>Insider option disclosures, not an exchange option chain; public module six months delayed.</t>
  </si>
  <si>
    <t>Metadata: T66</t>
  </si>
  <si>
    <t>T67</t>
  </si>
  <si>
    <t>/get_insider_buys</t>
  </si>
  <si>
    <t>Reported insider purchase list</t>
  </si>
  <si>
    <t>Shared insider-purchase feed</t>
  </si>
  <si>
    <t>Public source six-month delay; verify cash purchases versus grants and exercises.</t>
  </si>
  <si>
    <t>Metadata: T67</t>
  </si>
  <si>
    <t>T68</t>
  </si>
  <si>
    <t>/get_company_insider_trading</t>
  </si>
  <si>
    <t>Issuer-specific insider history</t>
  </si>
  <si>
    <t>Company insider timeline</t>
  </si>
  <si>
    <t>Transaction and filing dates differ; site warns share counts are not split adjusted.</t>
  </si>
  <si>
    <t>Metadata: T68</t>
  </si>
  <si>
    <t>T69</t>
  </si>
  <si>
    <t>/get_hedge_fund_portfolio</t>
  </si>
  <si>
    <t>A fund manager's reported portfolio</t>
  </si>
  <si>
    <t>Institutional portfolio-change research</t>
  </si>
  <si>
    <t>Historical disclosed positions are not its live portfolio; confidential or unreported positions may be absent.</t>
  </si>
  <si>
    <t>Metadata: T69</t>
  </si>
  <si>
    <t>T70</t>
  </si>
  <si>
    <t>/get_13g_filings</t>
  </si>
  <si>
    <t>Passive or qualified beneficial-ownership disclosures</t>
  </si>
  <si>
    <t>Company ownership notifications</t>
  </si>
  <si>
    <t>13G filing cadence depends on filer type and triggering change; not immediate trading activity.</t>
  </si>
  <si>
    <t>Metadata: T70</t>
  </si>
  <si>
    <t>Code</t>
  </si>
  <si>
    <t>Tools</t>
  </si>
  <si>
    <t>Official provenance</t>
  </si>
  <si>
    <t>Accuracy / quality</t>
  </si>
  <si>
    <t>Upstream freshness</t>
  </si>
  <si>
    <t>Permissions / suitability</t>
  </si>
  <si>
    <t>Audience and adoption distinction</t>
  </si>
  <si>
    <t>Recommendation</t>
  </si>
  <si>
    <t>Source URLs</t>
  </si>
  <si>
    <t>P1</t>
  </si>
  <si>
    <t>Nasdaq</t>
  </si>
  <si>
    <t>No exact Monid company count verified. Related official feeds cover US exchange-listed securities; each news, fund, options and filing tool can cover a different subset.</t>
  </si>
  <si>
    <t>Nasdaq is an official exchange operator. Its website also republishes third-party company data and journalism. These Monid listings are not verified as licensed Nasdaq feeds.</t>
  </si>
  <si>
    <t>Strong potential traceability for exchange data and original filings; mixed confidence for estimates, third-party news and derived fields. No measured connector accuracy.</t>
  </si>
  <si>
    <t>Website quote bar: three-second refresh; indices at least one minute delayed. Short interest is twice-monthly. Neither establishes Monid delivery latency. The separate official Retail Trading Activity Tracker is daily with a one-day reporting lag.</t>
  </si>
  <si>
    <t>Nasdaq website terms restrict automated capture and commercial copying, storage and derivative products without consent. A separate licensed feed/distributor agreement is the relevant route; no Monid pass-through grant established.</t>
  </si>
  <si>
    <t>Retail investors and analysts are the apparent audience. Trading 212 and Microsoft Excel are named users of the separate direct Nasdaq Last Sale product, not these Monid tools.</t>
  </si>
  <si>
    <t>Conditional research candidate; use an authorised Nasdaq route for critical prices.</t>
  </si>
  <si>
    <t>https://www.nasdaq.com/products/data/equities/nasdaq-last-sale
https://www.nasdaq.com/market-activity/stocks/aapl
https://www.nasdaq.com/market-activity
https://www.nasdaq.com/market-activity/stocks/aapl/financials
https://nasdaqtrader.com/trader.aspx?id=ShortInterest
https://data.nasdaq.com/databases/RTAT/documentation?anchor=sample-data
https://www.nasdaq.com/legal
https://www.nasdaq.com/market-activity/stocks/aapl/institutional-holdings</t>
  </si>
  <si>
    <t>P2</t>
  </si>
  <si>
    <t>Yahoo Finance</t>
  </si>
  <si>
    <t>Global exchanges are listed in Yahoo help, but no exact company or news count was verified for Monid. Quote, profile and headline coverage are different questions.</t>
  </si>
  <si>
    <t>Publisher and secondary financial-data aggregator. Not the original issuer of every article or price record; Monid distribution authority unverified.</t>
  </si>
  <si>
    <t>Useful international research scope, but adjustments, stale profiles, article duplicates and ticker matching need measurement. No accuracy percentage established.</t>
  </si>
  <si>
    <t>Exchange dependent: the official table includes real-time Nasdaq, 15-minute OPRA/OTC, 20-minute ASX and 30-minute Shanghai/Shenzhen. Monid adds unmeasured collection/cache lag.</t>
  </si>
  <si>
    <t>Yahoo Finance help prohibits redistribution of its displayed/provided information. No separate Monid grant was verified. Article and photo rights require their own entitlement.</t>
  </si>
  <si>
    <t>Suitable for individual investors and analysts (product assessment); no named production customer verified for these Monid endpoints.</t>
  </si>
  <si>
    <t>On-demand alternative only after rights resolution; comparatively costly for frequent polling.</t>
  </si>
  <si>
    <t>https://help.yahoo.com/kb/finance/SLN2310.html
https://legal.yahoo.com/us/en/yahoo/terms/product-atos/finance/index.html</t>
  </si>
  <si>
    <t>P3</t>
  </si>
  <si>
    <t>Finviz</t>
  </si>
  <si>
    <t>The stock-only website screener showed 5,613 ticker rows; the unrestricted version 11,614 including funds. These dynamic observations are not unique companies, insider/news coverage or Monid-supported totals. Source FAQ lists Nasdaq, NYSE and AMEX.</t>
  </si>
  <si>
    <t>Secondary screener/aggregator. Direct Elite API/export access exists, but the Monid connector is not verified as that authorised product.</t>
  </si>
  <si>
    <t>Useful screening context, subject to universe/result caps. Sentiment is an interpretation, with no validated model or factual-accuracy score established.</t>
  </si>
  <si>
    <t>Free website stock quotes are one minute delayed; Elite quotes can be real time; fundamentals refresh hourly. News/insider latency and Monid refresh remain unknown.</t>
  </si>
  <si>
    <t>Direct API policy is personal-use and prohibits third-party redistribution/resale. Its one-request-per-five-seconds limit is not a verified Monid limit. A personal Elite subscription is not a licence for our app users.</t>
  </si>
  <si>
    <t>Finviz addresses beginners and professional traders. No named production customer verified for these Monid tools.</t>
  </si>
  <si>
    <t>Potential screener feature, secondary priority; resolve licence and pagination first.</t>
  </si>
  <si>
    <t>https://finviz.com/help/faq
https://finviz.com/screener?f=ind_stocksonly&amp;v=111
https://finviz.com/screener?v=111
https://finviz.com/knowledge-base/market-data-research/api/usage-limits
https://finviz.com/elite</t>
  </si>
  <si>
    <t>P4</t>
  </si>
  <si>
    <t>MarketBeat</t>
  </si>
  <si>
    <t>Website advertises 20,000 public-company profiles, with US, Canadian and UK sections. No exact Monid count or assurance that all 14 tools cover all these companies was verified.</t>
  </si>
  <si>
    <t>Private publisher and aggregator; discloses market-data suppliers and editorial policies. SEC-derived insider tables remain secondary.</t>
  </si>
  <si>
    <t>Editorial source checks and corrections are positive signals, not a measured endpoint error rate. Some summaries use AI; ratings/forecasts and MarketRank are opinions or models.</t>
  </si>
  <si>
    <t>Source fair-market-value estimates update each minute; other Barchart market data is at least ten minutes delayed. Model scores, earnings and holdings have different cadences; Monid latency unmeasured.</t>
  </si>
  <si>
    <t>Terms distinguish personal access, site/XML licences and commercial licensing, and restrict bulk redistribution. No Monid downstream customer-display/storage grant established.</t>
  </si>
  <si>
    <t>Retail-investor publisher with a large claimed newsletter readership. This is audience evidence, not named Monid API-customer evidence.</t>
  </si>
  <si>
    <t>One of the more relevant headline/research candidates, conditional on a valid commercial licence.</t>
  </si>
  <si>
    <t>https://www.marketbeat.com/about/
https://www.marketbeat.com/editorial-guidelines/
https://www.marketbeat.com/faq/
https://www.marketbeat.com/terms/
https://www.marketbeat.com/all-access/insider-trades-screener/</t>
  </si>
  <si>
    <t>P5</t>
  </si>
  <si>
    <t>StockAnalysis</t>
  </si>
  <si>
    <t>Website advertises 130,000+ tradable symbols worldwide, including ETFs and multiple listings. This is not a unique-company number or proven Monid coverage. Seven listings were retrievable although eight were advertised.</t>
  </si>
  <si>
    <t>Secondary research publisher using providers including S&amp;P Global and Fiscal.ai. It explicitly says it has no programmatic API/MCP and lacks programmatic resale rights.</t>
  </si>
  <si>
    <t>Documented upstream vendors and review practices support manual research. No independent Monid accuracy or completeness benchmark; derived ratios and financial periods need reconciliation.</t>
  </si>
  <si>
    <t>US website stock pages refresh every five seconds for free users and stream for paid users; source screeners are roughly minute-based; other markets can be delayed or end-of-day. This is not Monid streaming evidence.</t>
  </si>
  <si>
    <t>Published no-programmatic-access position is a concrete blocker for assuming these are official licensed APIs. A valid, separately evidenced upstream rights chain would be needed before production use.</t>
  </si>
  <si>
    <t>Regular/individual investors are its stated audience. No named Monid endpoint customers verified.</t>
  </si>
  <si>
    <t>Hold production integration pending an explanation and proof of lawful programmatic supply.</t>
  </si>
  <si>
    <t>https://stockanalysis.com/help/data-and-downloads/about-our-data/
https://stockanalysis.com/data-sources/
https://stockanalysis.com/help/faq/stock-price-data/
https://stockanalysis.com/help/faq/api-access/
https://stockanalysis.com/terms-of-use/
https://stockanalysis.com/about/</t>
  </si>
  <si>
    <t>P6</t>
  </si>
  <si>
    <t>DefiLlama equities</t>
  </si>
  <si>
    <t>Exact supported company count unverified. Official companies-list returns ticker/country identities to enumerate and match; upstream Twelve Data breadth is not proof of this beta subset.</t>
  </si>
  <si>
    <t>All eight paths are documented in the vendor’s official Pro API. Equities market/fundamental data is secondary Twelve Data; filing links can lead to primary SEC documents. Monid resale authority remains unverified.</t>
  </si>
  <si>
    <t>Clearer documented schemas than the web-style wrappers, but beta stability, per-field coverage and source reconciliation need validation.</t>
  </si>
  <si>
    <t>Beta snapshot/chart service, not a demonstrated tick stream. Short-window charts may use five-minute bars with daily fallback; on-chain venue mappings are hourly. End-to-end lag unmeasured.</t>
  </si>
  <si>
    <t>DefiLlama API terms and underlying Twelve Data display/redistribution entitlements apply. No confirmed pass-through customer-display grant through Monid. Direct Pro API pricing is a separate purchase route.</t>
  </si>
  <si>
    <t>Potential audience: equity and crypto researchers. No named adopter of these exact beta equities/Monid endpoints verified.</t>
  </si>
  <si>
    <t>Best low-cost documented API candidate for a limited fundamentals/chart evaluation, after rights and coverage checks.</t>
  </si>
  <si>
    <t>https://api-docs.defillama.com/
https://github.com/DefiLlama/api-docs/blob/main/llms-pro.txt
https://defillama.com/equities
https://defillama.com/terms/
https://twelvedata.com/terms</t>
  </si>
  <si>
    <t>P7</t>
  </si>
  <si>
    <t>SECForm4.com</t>
  </si>
  <si>
    <t>No exact company, issuer-CIK or manager count verified for Monid. SEC filing coverage is not a worldwide 50,000-company universe; owner, security and transaction counts are different.</t>
  </si>
  <si>
    <t>Private SEC-data aggregator, not the SEC. Original accession numbers/documents are needed to establish each record’s provenance.</t>
  </si>
  <si>
    <t>Potentially highly auditable with originals, but no tested error rate. Amendments, joint reporting, rounded totals and non-split-adjusted shares need handling.</t>
  </si>
  <si>
    <t>Five public modules disclose a six-month delay: buys, sales, significant buys, insider options and ratios. Company history can be newer. Monid subscription tier and delivered freshness are unverified.</t>
  </si>
  <si>
    <t>Website subscriptions do not establish a redistribution/API licence. No public grant for Monid customer display, history storage or exports was established.</t>
  </si>
  <si>
    <t>Investors studying executives and institutions are the intended audience. No named production customer verified for these Monid endpoints.</t>
  </si>
  <si>
    <t>Do not promise timely insider alerts until tier/lag/rights are proven; prefer official SEC ingestion as the foundation.</t>
  </si>
  <si>
    <t>https://www.secform4.com/
https://www.secform4.com/all-buys
https://www.secform4.com/insider-sales
https://www.secform4.com/significant-buys
https://www.secform4.com/stock-options
https://www.secform4.com/insider-buy-sell-ratios
https://www.secform4.com/insider-trading/320193.htm
https://www.secform4.com/account/sign-up
https://monid.ai/blog/guides/insider-trading-api-form-4-data</t>
  </si>
  <si>
    <t>Profile</t>
  </si>
  <si>
    <t>USD / call</t>
  </si>
  <si>
    <t>Include? 0/1</t>
  </si>
  <si>
    <t>Keys override: 10</t>
  </si>
  <si>
    <t>Keys override: 100</t>
  </si>
  <si>
    <t>Entities / call</t>
  </si>
  <si>
    <t>Pages / poll or lookup</t>
  </si>
  <si>
    <t>Retry overhead</t>
  </si>
  <si>
    <t>Effective keys: 10</t>
  </si>
  <si>
    <t>Effective keys: 100</t>
  </si>
  <si>
    <t>Research calls: 10</t>
  </si>
  <si>
    <t>Research calls: 100</t>
  </si>
  <si>
    <t>Research USD: 10</t>
  </si>
  <si>
    <t>Research USD: 100</t>
  </si>
  <si>
    <t>Feed calls: 10</t>
  </si>
  <si>
    <t>Feed calls: 100</t>
  </si>
  <si>
    <t>Feed USD: 10</t>
  </si>
  <si>
    <t>Feed USD: 100</t>
  </si>
  <si>
    <t>Scope / caveat</t>
  </si>
  <si>
    <t>Metadata</t>
  </si>
  <si>
    <t>One page/query assumed; full coverage and pagination unverified. Shared union of followed keys for entity tools; one shared list for global tools.</t>
  </si>
  <si>
    <t>Catalogue price/source</t>
  </si>
  <si>
    <t>One page/query assumed; full coverage and pagination unverified. Fixed optional universe of 5 keys in both scenarios.</t>
  </si>
  <si>
    <t>One page/query assumed; full coverage and pagination unverified. Fixed optional universe of 2 keys in both scenarios.</t>
  </si>
  <si>
    <t>One page/query assumed; full coverage and pagination unverified. Fixed optional universe of 10 keys in both scenarios.</t>
  </si>
  <si>
    <t>ALL 70: redundant reference total</t>
  </si>
  <si>
    <t>SELECTED tools only: edit Include</t>
  </si>
  <si>
    <t>Family / scenario</t>
  </si>
  <si>
    <t>Interpretation</t>
  </si>
  <si>
    <t>Enables all tools in this family, including alternatives and optional assets. Research actions call each family tool. Not a proposed bundle.</t>
  </si>
  <si>
    <t>All 70 reference</t>
  </si>
  <si>
    <t>Mechanical sum, NOT a recommendation or commercial quote.</t>
  </si>
  <si>
    <t>Selected tools</t>
  </si>
  <si>
    <t>Edit Include on Costs to build a non-overlapping selection.</t>
  </si>
  <si>
    <t>Scale: query keys</t>
  </si>
  <si>
    <t>USD/call</t>
  </si>
  <si>
    <t>Daily USD</t>
  </si>
  <si>
    <t>Hourly news USD</t>
  </si>
  <si>
    <t>5-min market USD</t>
  </si>
  <si>
    <t>One entity/call and one page. Company universe coverage and request throughput NOT established.</t>
  </si>
  <si>
    <t>Source ID</t>
  </si>
  <si>
    <t>Title / supports</t>
  </si>
  <si>
    <t>Primary URL</t>
  </si>
  <si>
    <t>Evidence boundary</t>
  </si>
  <si>
    <t>S1</t>
  </si>
  <si>
    <t>Monid finance directory and paginated public catalogue</t>
  </si>
  <si>
    <t>https://monid.ai/tools?c=finance</t>
  </si>
  <si>
    <t>Official publisher/operator/regulator source; scope-specific statements do not establish Monid delivery or downstream permission.</t>
  </si>
  <si>
    <t>S2</t>
  </si>
  <si>
    <t>Monid public finance endpoint metadata</t>
  </si>
  <si>
    <t>https://api.monid.ai/public/v1/endpoints?category=finance&amp;limit=24</t>
  </si>
  <si>
    <t>S3</t>
  </si>
  <si>
    <t>StockAnalysis: no API/MCP or programmatic redistribution rights, 8 July 2026</t>
  </si>
  <si>
    <t>https://stockanalysis.com/help/faq/api-access/</t>
  </si>
  <si>
    <t>S4</t>
  </si>
  <si>
    <t>SECForm4 significant buys: delay and selection thresholds</t>
  </si>
  <si>
    <t>https://www.secform4.com/significant-buys</t>
  </si>
  <si>
    <t>S5</t>
  </si>
  <si>
    <t>DefiLlama official API documentation and direct Pro pricing</t>
  </si>
  <si>
    <t>https://api-docs.defillama.com/</t>
  </si>
  <si>
    <t>S6</t>
  </si>
  <si>
    <t>DefiLlama official Pro endpoint documentation</t>
  </si>
  <si>
    <t>https://github.com/DefiLlama/api-docs/blob/main/llms-pro.txt</t>
  </si>
  <si>
    <t>S7</t>
  </si>
  <si>
    <t>Monid endpoint inspection documentation</t>
  </si>
  <si>
    <t>https://monid.ai/docs/api/inspect</t>
  </si>
  <si>
    <t>S8</t>
  </si>
  <si>
    <t>Monid execution documentation</t>
  </si>
  <si>
    <t>https://monid.ai/docs/api/run</t>
  </si>
  <si>
    <t>S9</t>
  </si>
  <si>
    <t>Parse own documentation: independent Nasdaq wrapper</t>
  </si>
  <si>
    <t>https://parse.bot/marketplace/8357401b-21c5-4fa5-8701-fff62d9a9922/nasdaq-com-api</t>
  </si>
  <si>
    <t>Operator statement about its own independent wrapper; Monid relationship unverified.</t>
  </si>
  <si>
    <t>S10</t>
  </si>
  <si>
    <t>Parse own documentation: independent Yahoo wrapper</t>
  </si>
  <si>
    <t>https://parse.bot/marketplace/417d966a-b180-44b0-80e5-477772dfc4e2/yahoofinance-com-api</t>
  </si>
  <si>
    <t>S11</t>
  </si>
  <si>
    <t>Parse own documentation: independent Finviz wrapper</t>
  </si>
  <si>
    <t>https://parse.bot/marketplace/09c62661-67ab-42f3-bdbe-e4f90fbd888d/finviz-com-api</t>
  </si>
  <si>
    <t>S12</t>
  </si>
  <si>
    <t>Parse own documentation: independent MarketBeat wrapper</t>
  </si>
  <si>
    <t>https://parse.bot/marketplace/7efa2b5b-c2ed-4d9d-99d4-0f3e152f73f3/marketbeat-com-api</t>
  </si>
  <si>
    <t>S13</t>
  </si>
  <si>
    <t>Parse own documentation: independent StockAnalysis wrapper</t>
  </si>
  <si>
    <t>https://parse.bot/marketplace/c9e8ac45-0663-4195-91fb-b986563bdfe8/stockanalysis-com-api</t>
  </si>
  <si>
    <t>S14</t>
  </si>
  <si>
    <t>Parse own documentation: independent SECForm4 wrapper</t>
  </si>
  <si>
    <t>https://parse.bot/marketplace/a56dfc20-a7a3-48db-9766-5437ed41cefb/secform4-com-api</t>
  </si>
  <si>
    <t>S15</t>
  </si>
  <si>
    <t>Nasdaq Last Sale: official product and named direct users</t>
  </si>
  <si>
    <t>https://www.nasdaq.com/products/data/equities/nasdaq-last-sale</t>
  </si>
  <si>
    <t>S16</t>
  </si>
  <si>
    <t>Nasdaq market activity: earnings-calendar methodology</t>
  </si>
  <si>
    <t>https://www.nasdaq.com/market-activity</t>
  </si>
  <si>
    <t>S17</t>
  </si>
  <si>
    <t>Nasdaq Apple financials: displayed units</t>
  </si>
  <si>
    <t>https://www.nasdaq.com/market-activity/stocks/aapl/financials</t>
  </si>
  <si>
    <t>S18</t>
  </si>
  <si>
    <t>Nasdaq institutional-holdings methodology</t>
  </si>
  <si>
    <t>https://www.nasdaq.com/market-activity/stocks/aapl/institutional-holdings</t>
  </si>
  <si>
    <t>S19</t>
  </si>
  <si>
    <t>Nasdaq Apple quote page: website refresh and index delay</t>
  </si>
  <si>
    <t>https://www.nasdaq.com/market-activity/stocks/aapl</t>
  </si>
  <si>
    <t>S20</t>
  </si>
  <si>
    <t>Nasdaq Trader short-interest reporting and dissemination</t>
  </si>
  <si>
    <t>https://nasdaqtrader.com/trader.aspx?id=ShortInterest</t>
  </si>
  <si>
    <t>S21</t>
  </si>
  <si>
    <t>Nasdaq Retail Trading Activity Tracker: separate direct dataset</t>
  </si>
  <si>
    <t>https://data.nasdaq.com/databases/RTAT/documentation?anchor=sample-data</t>
  </si>
  <si>
    <t>S22</t>
  </si>
  <si>
    <t>Nasdaq website legal terms, updated 11 May 2026</t>
  </si>
  <si>
    <t>https://www.nasdaq.com/legal</t>
  </si>
  <si>
    <t>S23</t>
  </si>
  <si>
    <t>Yahoo Finance exchange delays, providers and redistribution notice</t>
  </si>
  <si>
    <t>https://help.yahoo.com/kb/finance/SLN2310.html</t>
  </si>
  <si>
    <t>S24</t>
  </si>
  <si>
    <t>Yahoo Finance additional terms</t>
  </si>
  <si>
    <t>https://legal.yahoo.com/us/en/yahoo/terms/product-atos/finance/index.html</t>
  </si>
  <si>
    <t>S25</t>
  </si>
  <si>
    <t>Finviz FAQ: exchanges, quote delays and fundamental refresh</t>
  </si>
  <si>
    <t>https://finviz.com/help/faq</t>
  </si>
  <si>
    <t>S26</t>
  </si>
  <si>
    <t>Finviz stock-only screener: observed listing-row count</t>
  </si>
  <si>
    <t>https://finviz.com/screener?f=ind_stocksonly&amp;v=111</t>
  </si>
  <si>
    <t>S27</t>
  </si>
  <si>
    <t>Finviz unrestricted screener: stocks and funds</t>
  </si>
  <si>
    <t>https://finviz.com/screener?v=111</t>
  </si>
  <si>
    <t>S28</t>
  </si>
  <si>
    <t>Finviz direct API usage limits and personal-use restrictions</t>
  </si>
  <si>
    <t>https://finviz.com/knowledge-base/market-data-research/api/usage-limits</t>
  </si>
  <si>
    <t>S29</t>
  </si>
  <si>
    <t>Finviz Elite: direct subscription, audience and features</t>
  </si>
  <si>
    <t>https://finviz.com/elite</t>
  </si>
  <si>
    <t>S30</t>
  </si>
  <si>
    <t>MarketBeat company coverage, audience and data suppliers</t>
  </si>
  <si>
    <t>https://www.marketbeat.com/about/</t>
  </si>
  <si>
    <t>S31</t>
  </si>
  <si>
    <t>MarketBeat editorial standards and corrections</t>
  </si>
  <si>
    <t>https://www.marketbeat.com/editorial-guidelines/</t>
  </si>
  <si>
    <t>S32</t>
  </si>
  <si>
    <t>MarketBeat FAQ: analytical scores and AI-assisted content</t>
  </si>
  <si>
    <t>https://www.marketbeat.com/faq/</t>
  </si>
  <si>
    <t>S33</t>
  </si>
  <si>
    <t>MarketBeat insider screener: SEC-derived transactions</t>
  </si>
  <si>
    <t>https://www.marketbeat.com/all-access/insider-trades-screener/</t>
  </si>
  <si>
    <t>S34</t>
  </si>
  <si>
    <t>MarketBeat terms: site/XML licences and commercial use</t>
  </si>
  <si>
    <t>https://www.marketbeat.com/terms/</t>
  </si>
  <si>
    <t>S35</t>
  </si>
  <si>
    <t>StockAnalysis data coverage: tradable symbols, updated 31 July 2026</t>
  </si>
  <si>
    <t>https://stockanalysis.com/help/data-and-downloads/about-our-data/</t>
  </si>
  <si>
    <t>S36</t>
  </si>
  <si>
    <t>StockAnalysis sources and financial update timings</t>
  </si>
  <si>
    <t>https://stockanalysis.com/data-sources/</t>
  </si>
  <si>
    <t>S37</t>
  </si>
  <si>
    <t>StockAnalysis price refresh and exchange-dependent delays</t>
  </si>
  <si>
    <t>https://stockanalysis.com/help/faq/stock-price-data/</t>
  </si>
  <si>
    <t>S38</t>
  </si>
  <si>
    <t>StockAnalysis terms of use</t>
  </si>
  <si>
    <t>https://stockanalysis.com/terms-of-use/</t>
  </si>
  <si>
    <t>S39</t>
  </si>
  <si>
    <t>StockAnalysis intended audience</t>
  </si>
  <si>
    <t>https://stockanalysis.com/about/</t>
  </si>
  <si>
    <t>S40</t>
  </si>
  <si>
    <t>DefiLlama equities beta and source attribution</t>
  </si>
  <si>
    <t>https://defillama.com/equities</t>
  </si>
  <si>
    <t>S41</t>
  </si>
  <si>
    <t>DefiLlama terms covering APIs and commercial republication</t>
  </si>
  <si>
    <t>https://defillama.com/terms/</t>
  </si>
  <si>
    <t>S42</t>
  </si>
  <si>
    <t>Twelve Data terms: external display and redistribution entitlements</t>
  </si>
  <si>
    <t>https://twelvedata.com/terms</t>
  </si>
  <si>
    <t>S43</t>
  </si>
  <si>
    <t>SEC investor bulletin on insider reporting</t>
  </si>
  <si>
    <t>https://www.investor.gov/introduction-investing/general-resources/news-alerts/alerts-bulletins/investor-bulletins-69</t>
  </si>
  <si>
    <t>S44</t>
  </si>
  <si>
    <t>SEC ownership transaction codes</t>
  </si>
  <si>
    <t>https://www.sec.gov/edgar/searchedgar/ownershipformcodes.html</t>
  </si>
  <si>
    <t>S45</t>
  </si>
  <si>
    <t>SEC Form 13F FAQ: threshold, holdings and reporting deadlines</t>
  </si>
  <si>
    <t>https://www.sec.gov/rules-regulations/staff-guidance/division-investment-management-frequently-asked-questions/frequently-asked-questions-about-form-13f</t>
  </si>
  <si>
    <t>S46</t>
  </si>
  <si>
    <t>SEC beneficial ownership reporting interpretations</t>
  </si>
  <si>
    <t>https://www.sec.gov/rules-regulations/staff-guidance/corporation-finance-interpretations/exchange-act-sections-13d-13g-regulation-13d-g-beneficial-ownership-reporting</t>
  </si>
  <si>
    <t>S47</t>
  </si>
  <si>
    <t>SEC 2026 foreign-insider reporting final rules</t>
  </si>
  <si>
    <t>https://www.sec.gov/newsroom/press-releases/2026-23-sec-adopts-final-rules-holding-foreign-insiders-accountable-act</t>
  </si>
  <si>
    <t>S48</t>
  </si>
  <si>
    <t>SEC foreign-insider exemption order</t>
  </si>
  <si>
    <t>https://www.sec.gov/rules-regulations/2026/03/34-104931</t>
  </si>
  <si>
    <t>S49</t>
  </si>
  <si>
    <t>SEC June 2026 foreign-insider exemption extension</t>
  </si>
  <si>
    <t>https://www.sec.gov/files/rules/exorders/2026/34-105517.pdf</t>
  </si>
  <si>
    <t>S50</t>
  </si>
  <si>
    <t>SECForm4.com service description</t>
  </si>
  <si>
    <t>https://www.secform4.com/</t>
  </si>
  <si>
    <t>S51</t>
  </si>
  <si>
    <t>Monid vendor-reported Form 4 examples, 7 September 2026</t>
  </si>
  <si>
    <t>https://monid.ai/blog/guides/insider-trading-api-form-4-data</t>
  </si>
  <si>
    <t>S52</t>
  </si>
  <si>
    <t>SECForm4 public buys: six-month delay notice</t>
  </si>
  <si>
    <t>https://www.secform4.com/all-buys</t>
  </si>
  <si>
    <t>S53</t>
  </si>
  <si>
    <t>SECForm4 public sales: six-month delay notice</t>
  </si>
  <si>
    <t>https://www.secform4.com/insider-sales</t>
  </si>
  <si>
    <t>S54</t>
  </si>
  <si>
    <t>SECForm4 public insider options: six-month delay notice</t>
  </si>
  <si>
    <t>https://www.secform4.com/stock-options</t>
  </si>
  <si>
    <t>S55</t>
  </si>
  <si>
    <t>SECForm4 public buy/sell ratios: six-month delay notice</t>
  </si>
  <si>
    <t>https://www.secform4.com/insider-buy-sell-ratios</t>
  </si>
  <si>
    <t>S56</t>
  </si>
  <si>
    <t>SECForm4 Apple history: reported dates and split-adjustment warning</t>
  </si>
  <si>
    <t>https://www.secform4.com/insider-trading/320193.htm</t>
  </si>
  <si>
    <t>S57</t>
  </si>
  <si>
    <t>SECForm4 direct website subscription plans</t>
  </si>
  <si>
    <t>https://www.secform4.com/account/sign-up</t>
  </si>
  <si>
    <t>S58</t>
  </si>
  <si>
    <t>SEC EDGAR APIs: access, update timing and bulk data</t>
  </si>
  <si>
    <t>https://www.sec.gov/search-filings/edgar-application-programming-interfaces</t>
  </si>
  <si>
    <t>S59</t>
  </si>
  <si>
    <t>SEC public information reuse and automated access policy</t>
  </si>
  <si>
    <t>https://www.sec.gov/about/privacy-information</t>
  </si>
  <si>
    <t>S60</t>
  </si>
  <si>
    <t>SEC insider transaction datasets and as-filed limitations</t>
  </si>
  <si>
    <t>https://www.sec.gov/data-research/sec-markets-data/insider-transactions-data-sets</t>
  </si>
  <si>
    <t>S61</t>
  </si>
  <si>
    <t>Monid server integration documentation</t>
  </si>
  <si>
    <t>https://monid.ai/docs/integrations/overview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</si>
</sst>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0%"/>
    <numFmt numFmtId="166" formatCode="#,##0.00"/>
    <numFmt numFmtId="167" formatCode="$0.0000"/>
    <numFmt numFmtId="168" formatCode="#,##0"/>
    <numFmt numFmtId="169" formatCode="$#,##0.00"/>
  </numFmts>
  <fonts count="7">
    <font>
      <sz val="11"/>
      <color theme="1"/>
      <name val="Calibri"/>
      <family val="2"/>
      <scheme val="minor"/>
    </font>
    <font>
      <b/>
      <sz val="19"/>
      <color rgb="FF17171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74B75"/>
      <name val="Calibri"/>
      <family val="2"/>
      <scheme val="minor"/>
    </font>
    <font>
      <u/>
      <sz val="11"/>
      <color rgb="FF174B75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242424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164" fontId="4" fillId="3" borderId="0" xfId="0" applyNumberFormat="1" applyFont="1" applyFill="1" applyAlignment="1">
      <alignment vertical="top"/>
    </xf>
    <xf numFmtId="165" fontId="4" fillId="3" borderId="0" xfId="0" applyNumberFormat="1" applyFont="1" applyFill="1" applyAlignment="1">
      <alignment vertical="top"/>
    </xf>
    <xf numFmtId="166" fontId="0" fillId="0" borderId="0" xfId="0" applyNumberFormat="1" applyAlignment="1">
      <alignment vertical="top"/>
    </xf>
    <xf numFmtId="0" fontId="5" fillId="0" borderId="0" xfId="0" applyFont="1" applyAlignment="1">
      <alignment vertical="top" wrapText="1"/>
    </xf>
    <xf numFmtId="167" fontId="4" fillId="3" borderId="0" xfId="0" applyNumberFormat="1" applyFont="1" applyFill="1" applyAlignment="1">
      <alignment vertical="top"/>
    </xf>
    <xf numFmtId="1" fontId="4" fillId="3" borderId="0" xfId="0" applyNumberFormat="1" applyFont="1" applyFill="1" applyAlignment="1">
      <alignment vertical="top"/>
    </xf>
    <xf numFmtId="168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api.monid.ai/public/v1/providers/nasdaq/endpoints/get_stock_earnings" TargetMode="External"/><Relationship Id="rId2" Type="http://schemas.openxmlformats.org/officeDocument/2006/relationships/hyperlink" Target="https://api.monid.ai/public/v1/providers/nasdaq/endpoints/get_stock_screener" TargetMode="External"/><Relationship Id="rId3" Type="http://schemas.openxmlformats.org/officeDocument/2006/relationships/hyperlink" Target="https://api.monid.ai/public/v1/providers/nasdaq/endpoints/get_earnings_calendar" TargetMode="External"/><Relationship Id="rId4" Type="http://schemas.openxmlformats.org/officeDocument/2006/relationships/hyperlink" Target="https://api.monid.ai/public/v1/providers/nasdaq/endpoints/get_stock_sec_filings" TargetMode="External"/><Relationship Id="rId5" Type="http://schemas.openxmlformats.org/officeDocument/2006/relationships/hyperlink" Target="https://api.monid.ai/public/v1/providers/nasdaq/endpoints/get_mutual_fund_quote" TargetMode="External"/><Relationship Id="rId6" Type="http://schemas.openxmlformats.org/officeDocument/2006/relationships/hyperlink" Target="https://api.monid.ai/public/v1/providers/nasdaq/endpoints/get_stock_dividend_history" TargetMode="External"/><Relationship Id="rId7" Type="http://schemas.openxmlformats.org/officeDocument/2006/relationships/hyperlink" Target="https://api.monid.ai/public/v1/providers/nasdaq/endpoints/get_stock_quote" TargetMode="External"/><Relationship Id="rId8" Type="http://schemas.openxmlformats.org/officeDocument/2006/relationships/hyperlink" Target="https://api.monid.ai/public/v1/providers/nasdaq/endpoints/search_symbols" TargetMode="External"/><Relationship Id="rId9" Type="http://schemas.openxmlformats.org/officeDocument/2006/relationships/hyperlink" Target="https://api.monid.ai/public/v1/providers/nasdaq/endpoints/get_market_indices" TargetMode="External"/><Relationship Id="rId10" Type="http://schemas.openxmlformats.org/officeDocument/2006/relationships/hyperlink" Target="https://api.monid.ai/public/v1/providers/nasdaq/endpoints/get_stock_historical_quotes" TargetMode="External"/><Relationship Id="rId11" Type="http://schemas.openxmlformats.org/officeDocument/2006/relationships/hyperlink" Target="https://api.monid.ai/public/v1/providers/nasdaq/endpoints/get_market_movers" TargetMode="External"/><Relationship Id="rId12" Type="http://schemas.openxmlformats.org/officeDocument/2006/relationships/hyperlink" Target="https://api.monid.ai/public/v1/providers/nasdaq/endpoints/get_etf_quote" TargetMode="External"/><Relationship Id="rId13" Type="http://schemas.openxmlformats.org/officeDocument/2006/relationships/hyperlink" Target="https://api.monid.ai/public/v1/providers/nasdaq/endpoints/get_cryptocurrency_quote" TargetMode="External"/><Relationship Id="rId14" Type="http://schemas.openxmlformats.org/officeDocument/2006/relationships/hyperlink" Target="https://api.monid.ai/public/v1/providers/nasdaq/endpoints/get_stock_news" TargetMode="External"/><Relationship Id="rId15" Type="http://schemas.openxmlformats.org/officeDocument/2006/relationships/hyperlink" Target="https://api.monid.ai/public/v1/providers/nasdaq/endpoints/get_stock_financials" TargetMode="External"/><Relationship Id="rId16" Type="http://schemas.openxmlformats.org/officeDocument/2006/relationships/hyperlink" Target="https://api.monid.ai/public/v1/providers/nasdaq/endpoints/get_index_detail" TargetMode="External"/><Relationship Id="rId17" Type="http://schemas.openxmlformats.org/officeDocument/2006/relationships/hyperlink" Target="https://api.monid.ai/public/v1/providers/nasdaq/endpoints/get_stock_short_interest" TargetMode="External"/><Relationship Id="rId18" Type="http://schemas.openxmlformats.org/officeDocument/2006/relationships/hyperlink" Target="https://api.monid.ai/public/v1/providers/nasdaq/endpoints/get_stock_option_chain" TargetMode="External"/><Relationship Id="rId19" Type="http://schemas.openxmlformats.org/officeDocument/2006/relationships/hyperlink" Target="https://api.monid.ai/public/v1/providers/nasdaq/endpoints/get_retail_trading_activity" TargetMode="External"/><Relationship Id="rId20" Type="http://schemas.openxmlformats.org/officeDocument/2006/relationships/hyperlink" Target="https://api.monid.ai/public/v1/providers/yahoo-finance/endpoints/get_historical_data" TargetMode="External"/><Relationship Id="rId21" Type="http://schemas.openxmlformats.org/officeDocument/2006/relationships/hyperlink" Target="https://api.monid.ai/public/v1/providers/yahoo-finance/endpoints/get_company_profile" TargetMode="External"/><Relationship Id="rId22" Type="http://schemas.openxmlformats.org/officeDocument/2006/relationships/hyperlink" Target="https://api.monid.ai/public/v1/providers/yahoo-finance/endpoints/get_stock_news" TargetMode="External"/><Relationship Id="rId23" Type="http://schemas.openxmlformats.org/officeDocument/2006/relationships/hyperlink" Target="https://api.monid.ai/public/v1/providers/yahoo-finance/endpoints/get_quote" TargetMode="External"/><Relationship Id="rId24" Type="http://schemas.openxmlformats.org/officeDocument/2006/relationships/hyperlink" Target="https://api.monid.ai/public/v1/providers/yahoo-finance/endpoints/search_tickers" TargetMode="External"/><Relationship Id="rId25" Type="http://schemas.openxmlformats.org/officeDocument/2006/relationships/hyperlink" Target="https://api.monid.ai/public/v1/providers/finviz/endpoints/get_screener_results" TargetMode="External"/><Relationship Id="rId26" Type="http://schemas.openxmlformats.org/officeDocument/2006/relationships/hyperlink" Target="https://api.monid.ai/public/v1/providers/finviz/endpoints/get_ticker_sectors_with_performance" TargetMode="External"/><Relationship Id="rId27" Type="http://schemas.openxmlformats.org/officeDocument/2006/relationships/hyperlink" Target="https://api.monid.ai/public/v1/providers/finviz/endpoints/get_stock_news_sentiment" TargetMode="External"/><Relationship Id="rId28" Type="http://schemas.openxmlformats.org/officeDocument/2006/relationships/hyperlink" Target="https://api.monid.ai/public/v1/providers/finviz/endpoints/get_market_movers" TargetMode="External"/><Relationship Id="rId29" Type="http://schemas.openxmlformats.org/officeDocument/2006/relationships/hyperlink" Target="https://api.monid.ai/public/v1/providers/marketbeat/endpoints/get_financial_statements" TargetMode="External"/><Relationship Id="rId30" Type="http://schemas.openxmlformats.org/officeDocument/2006/relationships/hyperlink" Target="https://api.monid.ai/public/v1/providers/marketbeat/endpoints/get_analyst_ratings" TargetMode="External"/><Relationship Id="rId31" Type="http://schemas.openxmlformats.org/officeDocument/2006/relationships/hyperlink" Target="https://api.monid.ai/public/v1/providers/marketbeat/endpoints/search_stocks" TargetMode="External"/><Relationship Id="rId32" Type="http://schemas.openxmlformats.org/officeDocument/2006/relationships/hyperlink" Target="https://api.monid.ai/public/v1/providers/marketbeat/endpoints/get_options_chain" TargetMode="External"/><Relationship Id="rId33" Type="http://schemas.openxmlformats.org/officeDocument/2006/relationships/hyperlink" Target="https://api.monid.ai/public/v1/providers/marketbeat/endpoints/get_stock_overview" TargetMode="External"/><Relationship Id="rId34" Type="http://schemas.openxmlformats.org/officeDocument/2006/relationships/hyperlink" Target="https://api.monid.ai/public/v1/providers/marketbeat/endpoints/get_earnings" TargetMode="External"/><Relationship Id="rId35" Type="http://schemas.openxmlformats.org/officeDocument/2006/relationships/hyperlink" Target="https://api.monid.ai/public/v1/providers/marketbeat/endpoints/get_competitors" TargetMode="External"/><Relationship Id="rId36" Type="http://schemas.openxmlformats.org/officeDocument/2006/relationships/hyperlink" Target="https://api.monid.ai/public/v1/providers/marketbeat/endpoints/get_marketrank" TargetMode="External"/><Relationship Id="rId37" Type="http://schemas.openxmlformats.org/officeDocument/2006/relationships/hyperlink" Target="https://api.monid.ai/public/v1/providers/marketbeat/endpoints/get_stock_headlines" TargetMode="External"/><Relationship Id="rId38" Type="http://schemas.openxmlformats.org/officeDocument/2006/relationships/hyperlink" Target="https://api.monid.ai/public/v1/providers/marketbeat/endpoints/get_short_interest" TargetMode="External"/><Relationship Id="rId39" Type="http://schemas.openxmlformats.org/officeDocument/2006/relationships/hyperlink" Target="https://api.monid.ai/public/v1/providers/marketbeat/endpoints/get_profitability_metrics" TargetMode="External"/><Relationship Id="rId40" Type="http://schemas.openxmlformats.org/officeDocument/2006/relationships/hyperlink" Target="https://api.monid.ai/public/v1/providers/marketbeat/endpoints/get_stock_forecast" TargetMode="External"/><Relationship Id="rId41" Type="http://schemas.openxmlformats.org/officeDocument/2006/relationships/hyperlink" Target="https://api.monid.ai/public/v1/providers/stockanalysis/endpoints/get_stock_list" TargetMode="External"/><Relationship Id="rId42" Type="http://schemas.openxmlformats.org/officeDocument/2006/relationships/hyperlink" Target="https://api.monid.ai/public/v1/providers/stockanalysis/endpoints/search_stocks" TargetMode="External"/><Relationship Id="rId43" Type="http://schemas.openxmlformats.org/officeDocument/2006/relationships/hyperlink" Target="https://api.monid.ai/public/v1/providers/stockanalysis/endpoints/get_stock_financials_income" TargetMode="External"/><Relationship Id="rId44" Type="http://schemas.openxmlformats.org/officeDocument/2006/relationships/hyperlink" Target="https://api.monid.ai/public/v1/providers/stockanalysis/endpoints/get_market_movers_premarket" TargetMode="External"/><Relationship Id="rId45" Type="http://schemas.openxmlformats.org/officeDocument/2006/relationships/hyperlink" Target="https://api.monid.ai/public/v1/providers/stockanalysis/endpoints/get_stock_statistics" TargetMode="External"/><Relationship Id="rId46" Type="http://schemas.openxmlformats.org/officeDocument/2006/relationships/hyperlink" Target="https://api.monid.ai/public/v1/providers/stockanalysis/endpoints/get_ipo_calendar" TargetMode="External"/><Relationship Id="rId47" Type="http://schemas.openxmlformats.org/officeDocument/2006/relationships/hyperlink" Target="https://api.monid.ai/public/v1/providers/stockanalysis/endpoints/get_stock_overview" TargetMode="External"/><Relationship Id="rId48" Type="http://schemas.openxmlformats.org/officeDocument/2006/relationships/hyperlink" Target="https://api.monid.ai/public/v1/providers/defillama/endpoints/equities/v1/statements" TargetMode="External"/><Relationship Id="rId49" Type="http://schemas.openxmlformats.org/officeDocument/2006/relationships/hyperlink" Target="https://api.monid.ai/public/v1/providers/defillama/endpoints/equities/v1/filings" TargetMode="External"/><Relationship Id="rId50" Type="http://schemas.openxmlformats.org/officeDocument/2006/relationships/hyperlink" Target="https://api.monid.ai/public/v1/providers/defillama/endpoints/equities/v1/summary" TargetMode="External"/><Relationship Id="rId51" Type="http://schemas.openxmlformats.org/officeDocument/2006/relationships/hyperlink" Target="https://api.monid.ai/public/v1/providers/defillama/endpoints/equities/v1/price-history" TargetMode="External"/><Relationship Id="rId52" Type="http://schemas.openxmlformats.org/officeDocument/2006/relationships/hyperlink" Target="https://api.monid.ai/public/v1/providers/defillama/endpoints/equities/v1/companies-list" TargetMode="External"/><Relationship Id="rId53" Type="http://schemas.openxmlformats.org/officeDocument/2006/relationships/hyperlink" Target="https://api.monid.ai/public/v1/providers/defillama/endpoints/equities/v1/ohlcv" TargetMode="External"/><Relationship Id="rId54" Type="http://schemas.openxmlformats.org/officeDocument/2006/relationships/hyperlink" Target="https://api.monid.ai/public/v1/providers/defillama/endpoints/equities/v1/onchain" TargetMode="External"/><Relationship Id="rId55" Type="http://schemas.openxmlformats.org/officeDocument/2006/relationships/hyperlink" Target="https://api.monid.ai/public/v1/providers/defillama/endpoints/equities/v1/dimensions" TargetMode="External"/><Relationship Id="rId56" Type="http://schemas.openxmlformats.org/officeDocument/2006/relationships/vmlDrawing" Target="../drawings/vmlDrawing3.vml"/><Relationship Id="rId57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api.monid.ai/public/v1/providers/nasdaq/endpoints/get_stock_institutional_holdings" TargetMode="External"/><Relationship Id="rId2" Type="http://schemas.openxmlformats.org/officeDocument/2006/relationships/hyperlink" Target="https://api.monid.ai/public/v1/providers/finviz/endpoints/get_insider_trading" TargetMode="External"/><Relationship Id="rId3" Type="http://schemas.openxmlformats.org/officeDocument/2006/relationships/hyperlink" Target="https://api.monid.ai/public/v1/providers/marketbeat/endpoints/get_institutional_ownership" TargetMode="External"/><Relationship Id="rId4" Type="http://schemas.openxmlformats.org/officeDocument/2006/relationships/hyperlink" Target="https://api.monid.ai/public/v1/providers/marketbeat/endpoints/get_insider_trades" TargetMode="External"/><Relationship Id="rId5" Type="http://schemas.openxmlformats.org/officeDocument/2006/relationships/hyperlink" Target="https://api.monid.ai/public/v1/providers/secform4/endpoints/search" TargetMode="External"/><Relationship Id="rId6" Type="http://schemas.openxmlformats.org/officeDocument/2006/relationships/hyperlink" Target="https://api.monid.ai/public/v1/providers/secform4/endpoints/get_13d_filings" TargetMode="External"/><Relationship Id="rId7" Type="http://schemas.openxmlformats.org/officeDocument/2006/relationships/hyperlink" Target="https://api.monid.ai/public/v1/providers/secform4/endpoints/get_insider_sales" TargetMode="External"/><Relationship Id="rId8" Type="http://schemas.openxmlformats.org/officeDocument/2006/relationships/hyperlink" Target="https://api.monid.ai/public/v1/providers/secform4/endpoints/get_significant_insider_buys" TargetMode="External"/><Relationship Id="rId9" Type="http://schemas.openxmlformats.org/officeDocument/2006/relationships/hyperlink" Target="https://api.monid.ai/public/v1/providers/secform4/endpoints/get_institution_holders" TargetMode="External"/><Relationship Id="rId10" Type="http://schemas.openxmlformats.org/officeDocument/2006/relationships/hyperlink" Target="https://api.monid.ai/public/v1/providers/secform4/endpoints/get_insider_buy_sell_ratios" TargetMode="External"/><Relationship Id="rId11" Type="http://schemas.openxmlformats.org/officeDocument/2006/relationships/hyperlink" Target="https://api.monid.ai/public/v1/providers/secform4/endpoints/get_stock_options" TargetMode="External"/><Relationship Id="rId12" Type="http://schemas.openxmlformats.org/officeDocument/2006/relationships/hyperlink" Target="https://api.monid.ai/public/v1/providers/secform4/endpoints/get_insider_buys" TargetMode="External"/><Relationship Id="rId13" Type="http://schemas.openxmlformats.org/officeDocument/2006/relationships/hyperlink" Target="https://api.monid.ai/public/v1/providers/secform4/endpoints/get_company_insider_trading" TargetMode="External"/><Relationship Id="rId14" Type="http://schemas.openxmlformats.org/officeDocument/2006/relationships/hyperlink" Target="https://api.monid.ai/public/v1/providers/secform4/endpoints/get_hedge_fund_portfolio" TargetMode="External"/><Relationship Id="rId15" Type="http://schemas.openxmlformats.org/officeDocument/2006/relationships/hyperlink" Target="https://api.monid.ai/public/v1/providers/secform4/endpoints/get_13g_filings" TargetMode="External"/><Relationship Id="rId16" Type="http://schemas.openxmlformats.org/officeDocument/2006/relationships/vmlDrawing" Target="../drawings/vmlDrawing4.vml"/><Relationship Id="rId17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sdaq.com/products/data/equities/nasdaq-last-sale&#xA;https://www.nasdaq.com/market-activity/stocks/aapl&#xA;https://www.nasdaq.com/market-activity&#xA;https://www.nasdaq.com/market-activity/stocks/aapl/financials&#xA;https://nasdaqtrader.com/trader.aspx?id=ShortInterest&#xA;https://data.nasdaq.com/databases/RTAT/documentation?anchor=sample-data&#xA;https://www.nasdaq.com/legal&#xA;https://www.nasdaq.com/market-activity/stocks/aapl/institutional-holdings" TargetMode="External"/><Relationship Id="rId2" Type="http://schemas.openxmlformats.org/officeDocument/2006/relationships/hyperlink" Target="https://help.yahoo.com/kb/finance/SLN2310.html&#xA;https://legal.yahoo.com/us/en/yahoo/terms/product-atos/finance/index.html" TargetMode="External"/><Relationship Id="rId3" Type="http://schemas.openxmlformats.org/officeDocument/2006/relationships/hyperlink" Target="https://finviz.com/help/faq&#xA;https://finviz.com/screener?f=ind_stocksonly&amp;v=111&#xA;https://finviz.com/screener?v=111&#xA;https://finviz.com/knowledge-base/market-data-research/api/usage-limits&#xA;https://finviz.com/elite" TargetMode="External"/><Relationship Id="rId4" Type="http://schemas.openxmlformats.org/officeDocument/2006/relationships/hyperlink" Target="https://www.marketbeat.com/about/&#xA;https://www.marketbeat.com/editorial-guidelines/&#xA;https://www.marketbeat.com/faq/&#xA;https://www.marketbeat.com/terms/&#xA;https://www.marketbeat.com/all-access/insider-trades-screener/" TargetMode="External"/><Relationship Id="rId5" Type="http://schemas.openxmlformats.org/officeDocument/2006/relationships/hyperlink" Target="https://stockanalysis.com/help/data-and-downloads/about-our-data/&#xA;https://stockanalysis.com/data-sources/&#xA;https://stockanalysis.com/help/faq/stock-price-data/&#xA;https://stockanalysis.com/help/faq/api-access/&#xA;https://stockanalysis.com/terms-of-use/&#xA;https://stockanalysis.com/about/" TargetMode="External"/><Relationship Id="rId6" Type="http://schemas.openxmlformats.org/officeDocument/2006/relationships/hyperlink" Target="https://api-docs.defillama.com/&#xA;https://github.com/DefiLlama/api-docs/blob/main/llms-pro.txt&#xA;https://defillama.com/equities&#xA;https://defillama.com/terms/&#xA;https://twelvedata.com/terms" TargetMode="External"/><Relationship Id="rId7" Type="http://schemas.openxmlformats.org/officeDocument/2006/relationships/hyperlink" Target="https://www.secform4.com/&#xA;https://www.secform4.com/all-buys&#xA;https://www.secform4.com/insider-sales&#xA;https://www.secform4.com/significant-buys&#xA;https://www.secform4.com/stock-options&#xA;https://www.secform4.com/insider-buy-sell-ratios&#xA;https://www.secform4.com/insider-trading/320193.htm&#xA;https://www.secform4.com/account/sign-up&#xA;https://monid.ai/blog/guides/insider-trading-api-form-4-data" TargetMode="External"/><Relationship Id="rId8" Type="http://schemas.openxmlformats.org/officeDocument/2006/relationships/vmlDrawing" Target="../drawings/vmlDrawing5.vml"/><Relationship Id="rId9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api.monid.ai/public/v1/providers/nasdaq/endpoints/get_stock_earnings" TargetMode="External"/><Relationship Id="rId2" Type="http://schemas.openxmlformats.org/officeDocument/2006/relationships/hyperlink" Target="https://api.monid.ai/public/v1/providers/nasdaq/endpoints/get_stock_screener" TargetMode="External"/><Relationship Id="rId3" Type="http://schemas.openxmlformats.org/officeDocument/2006/relationships/hyperlink" Target="https://api.monid.ai/public/v1/providers/nasdaq/endpoints/get_earnings_calendar" TargetMode="External"/><Relationship Id="rId4" Type="http://schemas.openxmlformats.org/officeDocument/2006/relationships/hyperlink" Target="https://api.monid.ai/public/v1/providers/nasdaq/endpoints/get_stock_sec_filings" TargetMode="External"/><Relationship Id="rId5" Type="http://schemas.openxmlformats.org/officeDocument/2006/relationships/hyperlink" Target="https://api.monid.ai/public/v1/providers/nasdaq/endpoints/get_mutual_fund_quote" TargetMode="External"/><Relationship Id="rId6" Type="http://schemas.openxmlformats.org/officeDocument/2006/relationships/hyperlink" Target="https://api.monid.ai/public/v1/providers/nasdaq/endpoints/get_stock_dividend_history" TargetMode="External"/><Relationship Id="rId7" Type="http://schemas.openxmlformats.org/officeDocument/2006/relationships/hyperlink" Target="https://api.monid.ai/public/v1/providers/nasdaq/endpoints/get_stock_quote" TargetMode="External"/><Relationship Id="rId8" Type="http://schemas.openxmlformats.org/officeDocument/2006/relationships/hyperlink" Target="https://api.monid.ai/public/v1/providers/nasdaq/endpoints/search_symbols" TargetMode="External"/><Relationship Id="rId9" Type="http://schemas.openxmlformats.org/officeDocument/2006/relationships/hyperlink" Target="https://api.monid.ai/public/v1/providers/nasdaq/endpoints/get_market_indices" TargetMode="External"/><Relationship Id="rId10" Type="http://schemas.openxmlformats.org/officeDocument/2006/relationships/hyperlink" Target="https://api.monid.ai/public/v1/providers/nasdaq/endpoints/get_stock_historical_quotes" TargetMode="External"/><Relationship Id="rId11" Type="http://schemas.openxmlformats.org/officeDocument/2006/relationships/hyperlink" Target="https://api.monid.ai/public/v1/providers/nasdaq/endpoints/get_stock_institutional_holdings" TargetMode="External"/><Relationship Id="rId12" Type="http://schemas.openxmlformats.org/officeDocument/2006/relationships/hyperlink" Target="https://api.monid.ai/public/v1/providers/nasdaq/endpoints/get_market_movers" TargetMode="External"/><Relationship Id="rId13" Type="http://schemas.openxmlformats.org/officeDocument/2006/relationships/hyperlink" Target="https://api.monid.ai/public/v1/providers/nasdaq/endpoints/get_etf_quote" TargetMode="External"/><Relationship Id="rId14" Type="http://schemas.openxmlformats.org/officeDocument/2006/relationships/hyperlink" Target="https://api.monid.ai/public/v1/providers/nasdaq/endpoints/get_cryptocurrency_quote" TargetMode="External"/><Relationship Id="rId15" Type="http://schemas.openxmlformats.org/officeDocument/2006/relationships/hyperlink" Target="https://api.monid.ai/public/v1/providers/nasdaq/endpoints/get_stock_news" TargetMode="External"/><Relationship Id="rId16" Type="http://schemas.openxmlformats.org/officeDocument/2006/relationships/hyperlink" Target="https://api.monid.ai/public/v1/providers/nasdaq/endpoints/get_stock_financials" TargetMode="External"/><Relationship Id="rId17" Type="http://schemas.openxmlformats.org/officeDocument/2006/relationships/hyperlink" Target="https://api.monid.ai/public/v1/providers/nasdaq/endpoints/get_index_detail" TargetMode="External"/><Relationship Id="rId18" Type="http://schemas.openxmlformats.org/officeDocument/2006/relationships/hyperlink" Target="https://api.monid.ai/public/v1/providers/nasdaq/endpoints/get_stock_short_interest" TargetMode="External"/><Relationship Id="rId19" Type="http://schemas.openxmlformats.org/officeDocument/2006/relationships/hyperlink" Target="https://api.monid.ai/public/v1/providers/nasdaq/endpoints/get_stock_option_chain" TargetMode="External"/><Relationship Id="rId20" Type="http://schemas.openxmlformats.org/officeDocument/2006/relationships/hyperlink" Target="https://api.monid.ai/public/v1/providers/nasdaq/endpoints/get_retail_trading_activity" TargetMode="External"/><Relationship Id="rId21" Type="http://schemas.openxmlformats.org/officeDocument/2006/relationships/hyperlink" Target="https://api.monid.ai/public/v1/providers/yahoo-finance/endpoints/get_historical_data" TargetMode="External"/><Relationship Id="rId22" Type="http://schemas.openxmlformats.org/officeDocument/2006/relationships/hyperlink" Target="https://api.monid.ai/public/v1/providers/yahoo-finance/endpoints/get_company_profile" TargetMode="External"/><Relationship Id="rId23" Type="http://schemas.openxmlformats.org/officeDocument/2006/relationships/hyperlink" Target="https://api.monid.ai/public/v1/providers/yahoo-finance/endpoints/get_stock_news" TargetMode="External"/><Relationship Id="rId24" Type="http://schemas.openxmlformats.org/officeDocument/2006/relationships/hyperlink" Target="https://api.monid.ai/public/v1/providers/yahoo-finance/endpoints/get_quote" TargetMode="External"/><Relationship Id="rId25" Type="http://schemas.openxmlformats.org/officeDocument/2006/relationships/hyperlink" Target="https://api.monid.ai/public/v1/providers/yahoo-finance/endpoints/search_tickers" TargetMode="External"/><Relationship Id="rId26" Type="http://schemas.openxmlformats.org/officeDocument/2006/relationships/hyperlink" Target="https://api.monid.ai/public/v1/providers/finviz/endpoints/get_screener_results" TargetMode="External"/><Relationship Id="rId27" Type="http://schemas.openxmlformats.org/officeDocument/2006/relationships/hyperlink" Target="https://api.monid.ai/public/v1/providers/finviz/endpoints/get_insider_trading" TargetMode="External"/><Relationship Id="rId28" Type="http://schemas.openxmlformats.org/officeDocument/2006/relationships/hyperlink" Target="https://api.monid.ai/public/v1/providers/finviz/endpoints/get_ticker_sectors_with_performance" TargetMode="External"/><Relationship Id="rId29" Type="http://schemas.openxmlformats.org/officeDocument/2006/relationships/hyperlink" Target="https://api.monid.ai/public/v1/providers/finviz/endpoints/get_stock_news_sentiment" TargetMode="External"/><Relationship Id="rId30" Type="http://schemas.openxmlformats.org/officeDocument/2006/relationships/hyperlink" Target="https://api.monid.ai/public/v1/providers/finviz/endpoints/get_market_movers" TargetMode="External"/><Relationship Id="rId31" Type="http://schemas.openxmlformats.org/officeDocument/2006/relationships/hyperlink" Target="https://api.monid.ai/public/v1/providers/marketbeat/endpoints/get_financial_statements" TargetMode="External"/><Relationship Id="rId32" Type="http://schemas.openxmlformats.org/officeDocument/2006/relationships/hyperlink" Target="https://api.monid.ai/public/v1/providers/marketbeat/endpoints/get_institutional_ownership" TargetMode="External"/><Relationship Id="rId33" Type="http://schemas.openxmlformats.org/officeDocument/2006/relationships/hyperlink" Target="https://api.monid.ai/public/v1/providers/marketbeat/endpoints/get_analyst_ratings" TargetMode="External"/><Relationship Id="rId34" Type="http://schemas.openxmlformats.org/officeDocument/2006/relationships/hyperlink" Target="https://api.monid.ai/public/v1/providers/marketbeat/endpoints/get_insider_trades" TargetMode="External"/><Relationship Id="rId35" Type="http://schemas.openxmlformats.org/officeDocument/2006/relationships/hyperlink" Target="https://api.monid.ai/public/v1/providers/marketbeat/endpoints/search_stocks" TargetMode="External"/><Relationship Id="rId36" Type="http://schemas.openxmlformats.org/officeDocument/2006/relationships/hyperlink" Target="https://api.monid.ai/public/v1/providers/marketbeat/endpoints/get_options_chain" TargetMode="External"/><Relationship Id="rId37" Type="http://schemas.openxmlformats.org/officeDocument/2006/relationships/hyperlink" Target="https://api.monid.ai/public/v1/providers/marketbeat/endpoints/get_stock_overview" TargetMode="External"/><Relationship Id="rId38" Type="http://schemas.openxmlformats.org/officeDocument/2006/relationships/hyperlink" Target="https://api.monid.ai/public/v1/providers/marketbeat/endpoints/get_earnings" TargetMode="External"/><Relationship Id="rId39" Type="http://schemas.openxmlformats.org/officeDocument/2006/relationships/hyperlink" Target="https://api.monid.ai/public/v1/providers/marketbeat/endpoints/get_competitors" TargetMode="External"/><Relationship Id="rId40" Type="http://schemas.openxmlformats.org/officeDocument/2006/relationships/hyperlink" Target="https://api.monid.ai/public/v1/providers/marketbeat/endpoints/get_marketrank" TargetMode="External"/><Relationship Id="rId41" Type="http://schemas.openxmlformats.org/officeDocument/2006/relationships/hyperlink" Target="https://api.monid.ai/public/v1/providers/marketbeat/endpoints/get_stock_headlines" TargetMode="External"/><Relationship Id="rId42" Type="http://schemas.openxmlformats.org/officeDocument/2006/relationships/hyperlink" Target="https://api.monid.ai/public/v1/providers/marketbeat/endpoints/get_short_interest" TargetMode="External"/><Relationship Id="rId43" Type="http://schemas.openxmlformats.org/officeDocument/2006/relationships/hyperlink" Target="https://api.monid.ai/public/v1/providers/marketbeat/endpoints/get_profitability_metrics" TargetMode="External"/><Relationship Id="rId44" Type="http://schemas.openxmlformats.org/officeDocument/2006/relationships/hyperlink" Target="https://api.monid.ai/public/v1/providers/marketbeat/endpoints/get_stock_forecast" TargetMode="External"/><Relationship Id="rId45" Type="http://schemas.openxmlformats.org/officeDocument/2006/relationships/hyperlink" Target="https://api.monid.ai/public/v1/providers/stockanalysis/endpoints/get_stock_list" TargetMode="External"/><Relationship Id="rId46" Type="http://schemas.openxmlformats.org/officeDocument/2006/relationships/hyperlink" Target="https://api.monid.ai/public/v1/providers/stockanalysis/endpoints/search_stocks" TargetMode="External"/><Relationship Id="rId47" Type="http://schemas.openxmlformats.org/officeDocument/2006/relationships/hyperlink" Target="https://api.monid.ai/public/v1/providers/stockanalysis/endpoints/get_stock_financials_income" TargetMode="External"/><Relationship Id="rId48" Type="http://schemas.openxmlformats.org/officeDocument/2006/relationships/hyperlink" Target="https://api.monid.ai/public/v1/providers/stockanalysis/endpoints/get_market_movers_premarket" TargetMode="External"/><Relationship Id="rId49" Type="http://schemas.openxmlformats.org/officeDocument/2006/relationships/hyperlink" Target="https://api.monid.ai/public/v1/providers/stockanalysis/endpoints/get_stock_statistics" TargetMode="External"/><Relationship Id="rId50" Type="http://schemas.openxmlformats.org/officeDocument/2006/relationships/hyperlink" Target="https://api.monid.ai/public/v1/providers/stockanalysis/endpoints/get_ipo_calendar" TargetMode="External"/><Relationship Id="rId51" Type="http://schemas.openxmlformats.org/officeDocument/2006/relationships/hyperlink" Target="https://api.monid.ai/public/v1/providers/stockanalysis/endpoints/get_stock_overview" TargetMode="External"/><Relationship Id="rId52" Type="http://schemas.openxmlformats.org/officeDocument/2006/relationships/hyperlink" Target="https://api.monid.ai/public/v1/providers/defillama/endpoints/equities/v1/statements" TargetMode="External"/><Relationship Id="rId53" Type="http://schemas.openxmlformats.org/officeDocument/2006/relationships/hyperlink" Target="https://api.monid.ai/public/v1/providers/defillama/endpoints/equities/v1/filings" TargetMode="External"/><Relationship Id="rId54" Type="http://schemas.openxmlformats.org/officeDocument/2006/relationships/hyperlink" Target="https://api.monid.ai/public/v1/providers/defillama/endpoints/equities/v1/summary" TargetMode="External"/><Relationship Id="rId55" Type="http://schemas.openxmlformats.org/officeDocument/2006/relationships/hyperlink" Target="https://api.monid.ai/public/v1/providers/defillama/endpoints/equities/v1/price-history" TargetMode="External"/><Relationship Id="rId56" Type="http://schemas.openxmlformats.org/officeDocument/2006/relationships/hyperlink" Target="https://api.monid.ai/public/v1/providers/defillama/endpoints/equities/v1/companies-list" TargetMode="External"/><Relationship Id="rId57" Type="http://schemas.openxmlformats.org/officeDocument/2006/relationships/hyperlink" Target="https://api.monid.ai/public/v1/providers/defillama/endpoints/equities/v1/ohlcv" TargetMode="External"/><Relationship Id="rId58" Type="http://schemas.openxmlformats.org/officeDocument/2006/relationships/hyperlink" Target="https://api.monid.ai/public/v1/providers/defillama/endpoints/equities/v1/onchain" TargetMode="External"/><Relationship Id="rId59" Type="http://schemas.openxmlformats.org/officeDocument/2006/relationships/hyperlink" Target="https://api.monid.ai/public/v1/providers/defillama/endpoints/equities/v1/dimensions" TargetMode="External"/><Relationship Id="rId60" Type="http://schemas.openxmlformats.org/officeDocument/2006/relationships/hyperlink" Target="https://api.monid.ai/public/v1/providers/secform4/endpoints/search" TargetMode="External"/><Relationship Id="rId61" Type="http://schemas.openxmlformats.org/officeDocument/2006/relationships/hyperlink" Target="https://api.monid.ai/public/v1/providers/secform4/endpoints/get_13d_filings" TargetMode="External"/><Relationship Id="rId62" Type="http://schemas.openxmlformats.org/officeDocument/2006/relationships/hyperlink" Target="https://api.monid.ai/public/v1/providers/secform4/endpoints/get_insider_sales" TargetMode="External"/><Relationship Id="rId63" Type="http://schemas.openxmlformats.org/officeDocument/2006/relationships/hyperlink" Target="https://api.monid.ai/public/v1/providers/secform4/endpoints/get_significant_insider_buys" TargetMode="External"/><Relationship Id="rId64" Type="http://schemas.openxmlformats.org/officeDocument/2006/relationships/hyperlink" Target="https://api.monid.ai/public/v1/providers/secform4/endpoints/get_institution_holders" TargetMode="External"/><Relationship Id="rId65" Type="http://schemas.openxmlformats.org/officeDocument/2006/relationships/hyperlink" Target="https://api.monid.ai/public/v1/providers/secform4/endpoints/get_insider_buy_sell_ratios" TargetMode="External"/><Relationship Id="rId66" Type="http://schemas.openxmlformats.org/officeDocument/2006/relationships/hyperlink" Target="https://api.monid.ai/public/v1/providers/secform4/endpoints/get_stock_options" TargetMode="External"/><Relationship Id="rId67" Type="http://schemas.openxmlformats.org/officeDocument/2006/relationships/hyperlink" Target="https://api.monid.ai/public/v1/providers/secform4/endpoints/get_insider_buys" TargetMode="External"/><Relationship Id="rId68" Type="http://schemas.openxmlformats.org/officeDocument/2006/relationships/hyperlink" Target="https://api.monid.ai/public/v1/providers/secform4/endpoints/get_company_insider_trading" TargetMode="External"/><Relationship Id="rId69" Type="http://schemas.openxmlformats.org/officeDocument/2006/relationships/hyperlink" Target="https://api.monid.ai/public/v1/providers/secform4/endpoints/get_hedge_fund_portfolio" TargetMode="External"/><Relationship Id="rId70" Type="http://schemas.openxmlformats.org/officeDocument/2006/relationships/hyperlink" Target="https://api.monid.ai/public/v1/providers/secform4/endpoints/get_13g_filings" TargetMode="External"/><Relationship Id="rId71" Type="http://schemas.openxmlformats.org/officeDocument/2006/relationships/vmlDrawing" Target="../drawings/vmlDrawing6.vml"/><Relationship Id="rId72" Type="http://schemas.openxmlformats.org/officeDocument/2006/relationships/comments" Target="../comments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monid.ai/tools?c=finance" TargetMode="External"/><Relationship Id="rId2" Type="http://schemas.openxmlformats.org/officeDocument/2006/relationships/hyperlink" Target="https://api.monid.ai/public/v1/endpoints?category=finance&amp;limit=24" TargetMode="External"/><Relationship Id="rId3" Type="http://schemas.openxmlformats.org/officeDocument/2006/relationships/hyperlink" Target="https://stockanalysis.com/help/faq/api-access/" TargetMode="External"/><Relationship Id="rId4" Type="http://schemas.openxmlformats.org/officeDocument/2006/relationships/hyperlink" Target="https://www.secform4.com/significant-buys" TargetMode="External"/><Relationship Id="rId5" Type="http://schemas.openxmlformats.org/officeDocument/2006/relationships/hyperlink" Target="https://api-docs.defillama.com/" TargetMode="External"/><Relationship Id="rId6" Type="http://schemas.openxmlformats.org/officeDocument/2006/relationships/hyperlink" Target="https://github.com/DefiLlama/api-docs/blob/main/llms-pro.txt" TargetMode="External"/><Relationship Id="rId7" Type="http://schemas.openxmlformats.org/officeDocument/2006/relationships/hyperlink" Target="https://monid.ai/docs/api/inspect" TargetMode="External"/><Relationship Id="rId8" Type="http://schemas.openxmlformats.org/officeDocument/2006/relationships/hyperlink" Target="https://monid.ai/docs/api/run" TargetMode="External"/><Relationship Id="rId9" Type="http://schemas.openxmlformats.org/officeDocument/2006/relationships/hyperlink" Target="https://parse.bot/marketplace/8357401b-21c5-4fa5-8701-fff62d9a9922/nasdaq-com-api" TargetMode="External"/><Relationship Id="rId10" Type="http://schemas.openxmlformats.org/officeDocument/2006/relationships/hyperlink" Target="https://parse.bot/marketplace/417d966a-b180-44b0-80e5-477772dfc4e2/yahoofinance-com-api" TargetMode="External"/><Relationship Id="rId11" Type="http://schemas.openxmlformats.org/officeDocument/2006/relationships/hyperlink" Target="https://parse.bot/marketplace/09c62661-67ab-42f3-bdbe-e4f90fbd888d/finviz-com-api" TargetMode="External"/><Relationship Id="rId12" Type="http://schemas.openxmlformats.org/officeDocument/2006/relationships/hyperlink" Target="https://parse.bot/marketplace/7efa2b5b-c2ed-4d9d-99d4-0f3e152f73f3/marketbeat-com-api" TargetMode="External"/><Relationship Id="rId13" Type="http://schemas.openxmlformats.org/officeDocument/2006/relationships/hyperlink" Target="https://parse.bot/marketplace/c9e8ac45-0663-4195-91fb-b986563bdfe8/stockanalysis-com-api" TargetMode="External"/><Relationship Id="rId14" Type="http://schemas.openxmlformats.org/officeDocument/2006/relationships/hyperlink" Target="https://parse.bot/marketplace/a56dfc20-a7a3-48db-9766-5437ed41cefb/secform4-com-api" TargetMode="External"/><Relationship Id="rId15" Type="http://schemas.openxmlformats.org/officeDocument/2006/relationships/hyperlink" Target="https://www.nasdaq.com/products/data/equities/nasdaq-last-sale" TargetMode="External"/><Relationship Id="rId16" Type="http://schemas.openxmlformats.org/officeDocument/2006/relationships/hyperlink" Target="https://www.nasdaq.com/market-activity" TargetMode="External"/><Relationship Id="rId17" Type="http://schemas.openxmlformats.org/officeDocument/2006/relationships/hyperlink" Target="https://www.nasdaq.com/market-activity/stocks/aapl/financials" TargetMode="External"/><Relationship Id="rId18" Type="http://schemas.openxmlformats.org/officeDocument/2006/relationships/hyperlink" Target="https://www.nasdaq.com/market-activity/stocks/aapl/institutional-holdings" TargetMode="External"/><Relationship Id="rId19" Type="http://schemas.openxmlformats.org/officeDocument/2006/relationships/hyperlink" Target="https://www.nasdaq.com/market-activity/stocks/aapl" TargetMode="External"/><Relationship Id="rId20" Type="http://schemas.openxmlformats.org/officeDocument/2006/relationships/hyperlink" Target="https://nasdaqtrader.com/trader.aspx?id=ShortInterest" TargetMode="External"/><Relationship Id="rId21" Type="http://schemas.openxmlformats.org/officeDocument/2006/relationships/hyperlink" Target="https://data.nasdaq.com/databases/RTAT/documentation?anchor=sample-data" TargetMode="External"/><Relationship Id="rId22" Type="http://schemas.openxmlformats.org/officeDocument/2006/relationships/hyperlink" Target="https://www.nasdaq.com/legal" TargetMode="External"/><Relationship Id="rId23" Type="http://schemas.openxmlformats.org/officeDocument/2006/relationships/hyperlink" Target="https://help.yahoo.com/kb/finance/SLN2310.html" TargetMode="External"/><Relationship Id="rId24" Type="http://schemas.openxmlformats.org/officeDocument/2006/relationships/hyperlink" Target="https://legal.yahoo.com/us/en/yahoo/terms/product-atos/finance/index.html" TargetMode="External"/><Relationship Id="rId25" Type="http://schemas.openxmlformats.org/officeDocument/2006/relationships/hyperlink" Target="https://finviz.com/help/faq" TargetMode="External"/><Relationship Id="rId26" Type="http://schemas.openxmlformats.org/officeDocument/2006/relationships/hyperlink" Target="https://finviz.com/screener?f=ind_stocksonly&amp;v=111" TargetMode="External"/><Relationship Id="rId27" Type="http://schemas.openxmlformats.org/officeDocument/2006/relationships/hyperlink" Target="https://finviz.com/screener?v=111" TargetMode="External"/><Relationship Id="rId28" Type="http://schemas.openxmlformats.org/officeDocument/2006/relationships/hyperlink" Target="https://finviz.com/knowledge-base/market-data-research/api/usage-limits" TargetMode="External"/><Relationship Id="rId29" Type="http://schemas.openxmlformats.org/officeDocument/2006/relationships/hyperlink" Target="https://finviz.com/elite" TargetMode="External"/><Relationship Id="rId30" Type="http://schemas.openxmlformats.org/officeDocument/2006/relationships/hyperlink" Target="https://www.marketbeat.com/about/" TargetMode="External"/><Relationship Id="rId31" Type="http://schemas.openxmlformats.org/officeDocument/2006/relationships/hyperlink" Target="https://www.marketbeat.com/editorial-guidelines/" TargetMode="External"/><Relationship Id="rId32" Type="http://schemas.openxmlformats.org/officeDocument/2006/relationships/hyperlink" Target="https://www.marketbeat.com/faq/" TargetMode="External"/><Relationship Id="rId33" Type="http://schemas.openxmlformats.org/officeDocument/2006/relationships/hyperlink" Target="https://www.marketbeat.com/all-access/insider-trades-screener/" TargetMode="External"/><Relationship Id="rId34" Type="http://schemas.openxmlformats.org/officeDocument/2006/relationships/hyperlink" Target="https://www.marketbeat.com/terms/" TargetMode="External"/><Relationship Id="rId35" Type="http://schemas.openxmlformats.org/officeDocument/2006/relationships/hyperlink" Target="https://stockanalysis.com/help/data-and-downloads/about-our-data/" TargetMode="External"/><Relationship Id="rId36" Type="http://schemas.openxmlformats.org/officeDocument/2006/relationships/hyperlink" Target="https://stockanalysis.com/data-sources/" TargetMode="External"/><Relationship Id="rId37" Type="http://schemas.openxmlformats.org/officeDocument/2006/relationships/hyperlink" Target="https://stockanalysis.com/help/faq/stock-price-data/" TargetMode="External"/><Relationship Id="rId38" Type="http://schemas.openxmlformats.org/officeDocument/2006/relationships/hyperlink" Target="https://stockanalysis.com/terms-of-use/" TargetMode="External"/><Relationship Id="rId39" Type="http://schemas.openxmlformats.org/officeDocument/2006/relationships/hyperlink" Target="https://stockanalysis.com/about/" TargetMode="External"/><Relationship Id="rId40" Type="http://schemas.openxmlformats.org/officeDocument/2006/relationships/hyperlink" Target="https://defillama.com/equities" TargetMode="External"/><Relationship Id="rId41" Type="http://schemas.openxmlformats.org/officeDocument/2006/relationships/hyperlink" Target="https://defillama.com/terms/" TargetMode="External"/><Relationship Id="rId42" Type="http://schemas.openxmlformats.org/officeDocument/2006/relationships/hyperlink" Target="https://twelvedata.com/terms" TargetMode="External"/><Relationship Id="rId43" Type="http://schemas.openxmlformats.org/officeDocument/2006/relationships/hyperlink" Target="https://www.investor.gov/introduction-investing/general-resources/news-alerts/alerts-bulletins/investor-bulletins-69" TargetMode="External"/><Relationship Id="rId44" Type="http://schemas.openxmlformats.org/officeDocument/2006/relationships/hyperlink" Target="https://www.sec.gov/edgar/searchedgar/ownershipformcodes.html" TargetMode="External"/><Relationship Id="rId45" Type="http://schemas.openxmlformats.org/officeDocument/2006/relationships/hyperlink" Target="https://www.sec.gov/rules-regulations/staff-guidance/division-investment-management-frequently-asked-questions/frequently-asked-questions-about-form-13f" TargetMode="External"/><Relationship Id="rId46" Type="http://schemas.openxmlformats.org/officeDocument/2006/relationships/hyperlink" Target="https://www.sec.gov/rules-regulations/staff-guidance/corporation-finance-interpretations/exchange-act-sections-13d-13g-regulation-13d-g-beneficial-ownership-reporting" TargetMode="External"/><Relationship Id="rId47" Type="http://schemas.openxmlformats.org/officeDocument/2006/relationships/hyperlink" Target="https://www.sec.gov/newsroom/press-releases/2026-23-sec-adopts-final-rules-holding-foreign-insiders-accountable-act" TargetMode="External"/><Relationship Id="rId48" Type="http://schemas.openxmlformats.org/officeDocument/2006/relationships/hyperlink" Target="https://www.sec.gov/rules-regulations/2026/03/34-104931" TargetMode="External"/><Relationship Id="rId49" Type="http://schemas.openxmlformats.org/officeDocument/2006/relationships/hyperlink" Target="https://www.sec.gov/files/rules/exorders/2026/34-105517.pdf" TargetMode="External"/><Relationship Id="rId50" Type="http://schemas.openxmlformats.org/officeDocument/2006/relationships/hyperlink" Target="https://www.secform4.com/" TargetMode="External"/><Relationship Id="rId51" Type="http://schemas.openxmlformats.org/officeDocument/2006/relationships/hyperlink" Target="https://monid.ai/blog/guides/insider-trading-api-form-4-data" TargetMode="External"/><Relationship Id="rId52" Type="http://schemas.openxmlformats.org/officeDocument/2006/relationships/hyperlink" Target="https://www.secform4.com/all-buys" TargetMode="External"/><Relationship Id="rId53" Type="http://schemas.openxmlformats.org/officeDocument/2006/relationships/hyperlink" Target="https://www.secform4.com/insider-sales" TargetMode="External"/><Relationship Id="rId54" Type="http://schemas.openxmlformats.org/officeDocument/2006/relationships/hyperlink" Target="https://www.secform4.com/stock-options" TargetMode="External"/><Relationship Id="rId55" Type="http://schemas.openxmlformats.org/officeDocument/2006/relationships/hyperlink" Target="https://www.secform4.com/insider-buy-sell-ratios" TargetMode="External"/><Relationship Id="rId56" Type="http://schemas.openxmlformats.org/officeDocument/2006/relationships/hyperlink" Target="https://www.secform4.com/insider-trading/320193.htm" TargetMode="External"/><Relationship Id="rId57" Type="http://schemas.openxmlformats.org/officeDocument/2006/relationships/hyperlink" Target="https://www.secform4.com/account/sign-up" TargetMode="External"/><Relationship Id="rId58" Type="http://schemas.openxmlformats.org/officeDocument/2006/relationships/hyperlink" Target="https://www.sec.gov/search-filings/edgar-application-programming-interfaces" TargetMode="External"/><Relationship Id="rId59" Type="http://schemas.openxmlformats.org/officeDocument/2006/relationships/hyperlink" Target="https://www.sec.gov/about/privacy-information" TargetMode="External"/><Relationship Id="rId60" Type="http://schemas.openxmlformats.org/officeDocument/2006/relationships/hyperlink" Target="https://www.sec.gov/data-research/sec-markets-data/insider-transactions-data-sets" TargetMode="External"/><Relationship Id="rId61" Type="http://schemas.openxmlformats.org/officeDocument/2006/relationships/hyperlink" Target="https://monid.ai/docs/integrations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3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27.7109375" customWidth="1"/>
    <col min="3" max="8" width="16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5" spans="2:8" ht="28" customHeight="1">
      <c r="B5" s="2" t="s">
        <v>1</v>
      </c>
      <c r="C5" s="3" t="s">
        <v>2</v>
      </c>
      <c r="D5" s="3"/>
      <c r="E5" s="3"/>
      <c r="F5" s="3"/>
      <c r="G5" s="3"/>
      <c r="H5" s="3"/>
    </row>
    <row r="6" spans="2:8">
      <c r="C6" s="3"/>
      <c r="D6" s="3"/>
      <c r="E6" s="3"/>
      <c r="F6" s="3"/>
      <c r="G6" s="3"/>
      <c r="H6" s="3"/>
    </row>
    <row r="8" spans="2:8" ht="28" customHeight="1">
      <c r="B8" s="2" t="s">
        <v>3</v>
      </c>
      <c r="C8" s="3" t="s">
        <v>4</v>
      </c>
      <c r="D8" s="3"/>
      <c r="E8" s="3"/>
      <c r="F8" s="3"/>
      <c r="G8" s="3"/>
      <c r="H8" s="3"/>
    </row>
    <row r="9" spans="2:8">
      <c r="C9" s="3"/>
      <c r="D9" s="3"/>
      <c r="E9" s="3"/>
      <c r="F9" s="3"/>
      <c r="G9" s="3"/>
      <c r="H9" s="3"/>
    </row>
    <row r="11" spans="2:8" ht="28" customHeight="1">
      <c r="B11" s="2" t="s">
        <v>5</v>
      </c>
      <c r="C11" s="3" t="s">
        <v>6</v>
      </c>
      <c r="D11" s="3"/>
      <c r="E11" s="3"/>
      <c r="F11" s="3"/>
      <c r="G11" s="3"/>
      <c r="H11" s="3"/>
    </row>
    <row r="12" spans="2:8">
      <c r="C12" s="3"/>
      <c r="D12" s="3"/>
      <c r="E12" s="3"/>
      <c r="F12" s="3"/>
      <c r="G12" s="3"/>
      <c r="H12" s="3"/>
    </row>
    <row r="14" spans="2:8" ht="28" customHeight="1">
      <c r="B14" s="2" t="s">
        <v>7</v>
      </c>
      <c r="C14" s="3" t="s">
        <v>8</v>
      </c>
      <c r="D14" s="3"/>
      <c r="E14" s="3"/>
      <c r="F14" s="3"/>
      <c r="G14" s="3"/>
      <c r="H14" s="3"/>
    </row>
    <row r="15" spans="2:8">
      <c r="C15" s="3"/>
      <c r="D15" s="3"/>
      <c r="E15" s="3"/>
      <c r="F15" s="3"/>
      <c r="G15" s="3"/>
      <c r="H15" s="3"/>
    </row>
    <row r="17" spans="2:8" ht="28" customHeight="1">
      <c r="B17" s="2" t="s">
        <v>9</v>
      </c>
      <c r="C17" s="3" t="s">
        <v>10</v>
      </c>
      <c r="D17" s="3"/>
      <c r="E17" s="3"/>
      <c r="F17" s="3"/>
      <c r="G17" s="3"/>
      <c r="H17" s="3"/>
    </row>
    <row r="18" spans="2:8">
      <c r="C18" s="3"/>
      <c r="D18" s="3"/>
      <c r="E18" s="3"/>
      <c r="F18" s="3"/>
      <c r="G18" s="3"/>
      <c r="H18" s="3"/>
    </row>
    <row r="20" spans="2:8" ht="28" customHeight="1">
      <c r="B20" s="2" t="s">
        <v>11</v>
      </c>
      <c r="C20" s="3" t="s">
        <v>12</v>
      </c>
      <c r="D20" s="3"/>
      <c r="E20" s="3"/>
      <c r="F20" s="3"/>
      <c r="G20" s="3"/>
      <c r="H20" s="3"/>
    </row>
    <row r="21" spans="2:8">
      <c r="C21" s="3"/>
      <c r="D21" s="3"/>
      <c r="E21" s="3"/>
      <c r="F21" s="3"/>
      <c r="G21" s="3"/>
      <c r="H21" s="3"/>
    </row>
    <row r="23" spans="2:8" ht="28" customHeight="1">
      <c r="B23" s="2" t="s">
        <v>13</v>
      </c>
      <c r="C23" s="3" t="s">
        <v>14</v>
      </c>
      <c r="D23" s="3"/>
      <c r="E23" s="3"/>
      <c r="F23" s="3"/>
      <c r="G23" s="3"/>
      <c r="H23" s="3"/>
    </row>
    <row r="24" spans="2:8">
      <c r="C24" s="3"/>
      <c r="D24" s="3"/>
      <c r="E24" s="3"/>
      <c r="F24" s="3"/>
      <c r="G24" s="3"/>
      <c r="H24" s="3"/>
    </row>
    <row r="26" spans="2:8" ht="28" customHeight="1">
      <c r="B26" s="2" t="s">
        <v>15</v>
      </c>
      <c r="C26" s="3" t="s">
        <v>16</v>
      </c>
      <c r="D26" s="3"/>
      <c r="E26" s="3"/>
      <c r="F26" s="3"/>
      <c r="G26" s="3"/>
      <c r="H26" s="3"/>
    </row>
    <row r="27" spans="2:8">
      <c r="C27" s="3"/>
      <c r="D27" s="3"/>
      <c r="E27" s="3"/>
      <c r="F27" s="3"/>
      <c r="G27" s="3"/>
      <c r="H27" s="3"/>
    </row>
    <row r="29" spans="2:8" ht="28" customHeight="1">
      <c r="B29" s="2" t="s">
        <v>17</v>
      </c>
      <c r="C29" s="3" t="s">
        <v>18</v>
      </c>
      <c r="D29" s="3"/>
      <c r="E29" s="3"/>
      <c r="F29" s="3"/>
      <c r="G29" s="3"/>
      <c r="H29" s="3"/>
    </row>
    <row r="30" spans="2:8">
      <c r="C30" s="3"/>
      <c r="D30" s="3"/>
      <c r="E30" s="3"/>
      <c r="F30" s="3"/>
      <c r="G30" s="3"/>
      <c r="H30" s="3"/>
    </row>
  </sheetData>
  <mergeCells count="10">
    <mergeCell ref="B2:H3"/>
    <mergeCell ref="C5:H6"/>
    <mergeCell ref="C8:H9"/>
    <mergeCell ref="C11:H12"/>
    <mergeCell ref="C14:H15"/>
    <mergeCell ref="C17:H18"/>
    <mergeCell ref="C20:H21"/>
    <mergeCell ref="C23:H24"/>
    <mergeCell ref="C26:H27"/>
    <mergeCell ref="C29:H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39.7109375" customWidth="1"/>
    <col min="2" max="2" width="19.7109375" customWidth="1"/>
    <col min="3" max="3" width="108.7109375" customWidth="1"/>
  </cols>
  <sheetData>
    <row r="1" spans="1:3" ht="38" customHeight="1">
      <c r="A1" s="2" t="s">
        <v>19</v>
      </c>
      <c r="B1" s="2" t="s">
        <v>20</v>
      </c>
      <c r="C1" s="2" t="s">
        <v>21</v>
      </c>
    </row>
    <row r="2" spans="1:3" ht="34" customHeight="1">
      <c r="A2" s="3" t="s">
        <v>22</v>
      </c>
      <c r="B2" s="4">
        <v>10</v>
      </c>
      <c r="C2" s="3" t="s">
        <v>23</v>
      </c>
    </row>
    <row r="3" spans="1:3" ht="34" customHeight="1">
      <c r="A3" s="3" t="s">
        <v>24</v>
      </c>
      <c r="B3" s="4">
        <v>100</v>
      </c>
      <c r="C3" s="3" t="s">
        <v>23</v>
      </c>
    </row>
    <row r="4" spans="1:3" ht="34" customHeight="1">
      <c r="A4" s="3" t="s">
        <v>25</v>
      </c>
      <c r="B4" s="4">
        <v>5</v>
      </c>
      <c r="C4" s="3" t="s">
        <v>26</v>
      </c>
    </row>
    <row r="5" spans="1:3" ht="34" customHeight="1">
      <c r="A5" s="3" t="s">
        <v>27</v>
      </c>
      <c r="B5" s="4">
        <v>22</v>
      </c>
      <c r="C5" s="3" t="s">
        <v>28</v>
      </c>
    </row>
    <row r="6" spans="1:3" ht="34" customHeight="1">
      <c r="A6" s="3" t="s">
        <v>29</v>
      </c>
      <c r="B6" s="4">
        <v>30</v>
      </c>
      <c r="C6" s="3" t="s">
        <v>30</v>
      </c>
    </row>
    <row r="7" spans="1:3" ht="34" customHeight="1">
      <c r="A7" s="3" t="s">
        <v>31</v>
      </c>
      <c r="B7" s="4">
        <v>20</v>
      </c>
      <c r="C7" s="3" t="s">
        <v>32</v>
      </c>
    </row>
    <row r="8" spans="1:3" ht="34" customHeight="1">
      <c r="A8" s="3" t="s">
        <v>33</v>
      </c>
      <c r="B8" s="5">
        <v>0.5</v>
      </c>
      <c r="C8" s="3" t="s">
        <v>34</v>
      </c>
    </row>
    <row r="9" spans="1:3" ht="34" customHeight="1">
      <c r="A9" s="3" t="s">
        <v>35</v>
      </c>
      <c r="B9" s="4">
        <v>6.5</v>
      </c>
      <c r="C9" s="3" t="s">
        <v>36</v>
      </c>
    </row>
    <row r="10" spans="1:3" ht="34" customHeight="1">
      <c r="A10" s="3" t="s">
        <v>37</v>
      </c>
      <c r="B10" s="4">
        <v>5</v>
      </c>
      <c r="C10" s="3" t="s">
        <v>38</v>
      </c>
    </row>
    <row r="11" spans="1:3" ht="34" customHeight="1">
      <c r="A11" s="3" t="s">
        <v>39</v>
      </c>
      <c r="B11" s="4">
        <v>16</v>
      </c>
      <c r="C11" s="3" t="s">
        <v>40</v>
      </c>
    </row>
    <row r="12" spans="1:3" ht="34" customHeight="1">
      <c r="A12" s="3" t="s">
        <v>41</v>
      </c>
      <c r="B12" s="4">
        <v>60</v>
      </c>
      <c r="C12" s="3" t="s">
        <v>42</v>
      </c>
    </row>
    <row r="13" spans="1:3" ht="34" customHeight="1">
      <c r="A13" s="3" t="s">
        <v>43</v>
      </c>
      <c r="B13" s="4">
        <v>16</v>
      </c>
      <c r="C13" s="3" t="s">
        <v>44</v>
      </c>
    </row>
    <row r="14" spans="1:3" ht="34" customHeight="1">
      <c r="A14" s="3" t="s">
        <v>45</v>
      </c>
      <c r="B14" s="4">
        <v>15</v>
      </c>
      <c r="C14" s="3" t="s">
        <v>46</v>
      </c>
    </row>
    <row r="15" spans="1:3" ht="34" customHeight="1">
      <c r="A15" s="3" t="s">
        <v>47</v>
      </c>
      <c r="B15" s="4">
        <v>60</v>
      </c>
      <c r="C15" s="3" t="s">
        <v>48</v>
      </c>
    </row>
    <row r="16" spans="1:3" ht="34" customHeight="1">
      <c r="A16" s="3" t="s">
        <v>49</v>
      </c>
      <c r="B16" s="4">
        <v>1</v>
      </c>
      <c r="C16" s="3" t="s">
        <v>50</v>
      </c>
    </row>
    <row r="17" spans="1:3" ht="34" customHeight="1">
      <c r="A17" s="3" t="s">
        <v>51</v>
      </c>
      <c r="B17" s="5">
        <v>0.5</v>
      </c>
      <c r="C17" s="3" t="s">
        <v>52</v>
      </c>
    </row>
    <row r="18" spans="1:3" ht="34" customHeight="1">
      <c r="A18" s="3" t="s">
        <v>53</v>
      </c>
      <c r="B18" s="4">
        <v>24</v>
      </c>
      <c r="C18" s="3" t="s">
        <v>54</v>
      </c>
    </row>
    <row r="19" spans="1:3" ht="34" customHeight="1">
      <c r="A19" s="3" t="s">
        <v>55</v>
      </c>
      <c r="B19" s="4">
        <v>60</v>
      </c>
      <c r="C19" s="3" t="s">
        <v>56</v>
      </c>
    </row>
    <row r="20" spans="1:3" ht="34" customHeight="1">
      <c r="A20" s="3" t="s">
        <v>57</v>
      </c>
      <c r="B20" s="4">
        <v>5.5</v>
      </c>
      <c r="C20" s="3" t="s">
        <v>58</v>
      </c>
    </row>
  </sheetData>
  <dataValidations count="19">
    <dataValidation type="decimal" allowBlank="1" showInputMessage="1" showErrorMessage="1" sqref="B2">
      <formula1>0</formula1>
      <formula2>1000000</formula2>
    </dataValidation>
    <dataValidation type="decimal" allowBlank="1" showInputMessage="1" showErrorMessage="1" sqref="B3">
      <formula1>0</formula1>
      <formula2>1000000</formula2>
    </dataValidation>
    <dataValidation type="decimal" allowBlank="1" showInputMessage="1" showErrorMessage="1" sqref="B4">
      <formula1>0</formula1>
      <formula2>1000000</formula2>
    </dataValidation>
    <dataValidation type="decimal" allowBlank="1" showInputMessage="1" showErrorMessage="1" sqref="B5">
      <formula1>0</formula1>
      <formula2>1000000</formula2>
    </dataValidation>
    <dataValidation type="decimal" allowBlank="1" showInputMessage="1" showErrorMessage="1" sqref="B6">
      <formula1>0</formula1>
      <formula2>1000000</formula2>
    </dataValidation>
    <dataValidation type="decimal" allowBlank="1" showInputMessage="1" showErrorMessage="1" sqref="B7">
      <formula1>0</formula1>
      <formula2>1000000</formula2>
    </dataValidation>
    <dataValidation type="decimal" allowBlank="1" showInputMessage="1" showErrorMessage="1" sqref="B8">
      <formula1>0</formula1>
      <formula2>1</formula2>
    </dataValidation>
    <dataValidation type="decimal" allowBlank="1" showInputMessage="1" showErrorMessage="1" sqref="B9">
      <formula1>0</formula1>
      <formula2>1000000</formula2>
    </dataValidation>
    <dataValidation type="decimal" allowBlank="1" showInputMessage="1" showErrorMessage="1" sqref="B10">
      <formula1>0.01</formula1>
      <formula2>1000000</formula2>
    </dataValidation>
    <dataValidation type="decimal" allowBlank="1" showInputMessage="1" showErrorMessage="1" sqref="B11">
      <formula1>0</formula1>
      <formula2>1000000</formula2>
    </dataValidation>
    <dataValidation type="decimal" allowBlank="1" showInputMessage="1" showErrorMessage="1" sqref="B12">
      <formula1>0.01</formula1>
      <formula2>1000000</formula2>
    </dataValidation>
    <dataValidation type="decimal" allowBlank="1" showInputMessage="1" showErrorMessage="1" sqref="B13">
      <formula1>0</formula1>
      <formula2>1000000</formula2>
    </dataValidation>
    <dataValidation type="decimal" allowBlank="1" showInputMessage="1" showErrorMessage="1" sqref="B14">
      <formula1>0</formula1>
      <formula2>1000000</formula2>
    </dataValidation>
    <dataValidation type="decimal" allowBlank="1" showInputMessage="1" showErrorMessage="1" sqref="B15">
      <formula1>0</formula1>
      <formula2>1000000</formula2>
    </dataValidation>
    <dataValidation type="decimal" allowBlank="1" showInputMessage="1" showErrorMessage="1" sqref="B16">
      <formula1>0</formula1>
      <formula2>1000000</formula2>
    </dataValidation>
    <dataValidation type="decimal" allowBlank="1" showInputMessage="1" showErrorMessage="1" sqref="B17">
      <formula1>0</formula1>
      <formula2>1</formula2>
    </dataValidation>
    <dataValidation type="decimal" allowBlank="1" showInputMessage="1" showErrorMessage="1" sqref="B18">
      <formula1>0</formula1>
      <formula2>1000000</formula2>
    </dataValidation>
    <dataValidation type="decimal" allowBlank="1" showInputMessage="1" showErrorMessage="1" sqref="B19">
      <formula1>0.01</formula1>
      <formula2>1000000</formula2>
    </dataValidation>
    <dataValidation type="decimal" allowBlank="1" showInputMessage="1" showErrorMessage="1" sqref="B20">
      <formula1>0</formula1>
      <formula2>1000000</formula2>
    </dataValidation>
  </dataValidations>
  <pageMargins left="0.7" right="0.7" top="0.75" bottom="0.75" header="0.3" footer="0.3"/>
  <pageSetup fitToHeight="0" orientation="landscape"/>
  <headerFooter>
    <oddFooter>&amp;LMonid finance assessment&amp;RPage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23.7109375" customWidth="1"/>
    <col min="2" max="2" width="65.7109375" customWidth="1"/>
    <col min="3" max="3" width="13.7109375" customWidth="1"/>
    <col min="4" max="4" width="22.7109375" customWidth="1"/>
  </cols>
  <sheetData>
    <row r="1" spans="1:4" ht="38" customHeight="1">
      <c r="A1" s="2" t="s">
        <v>59</v>
      </c>
      <c r="B1" s="2" t="s">
        <v>60</v>
      </c>
      <c r="C1" s="2" t="s">
        <v>1</v>
      </c>
      <c r="D1" s="2" t="s">
        <v>61</v>
      </c>
    </row>
    <row r="2" spans="1:4" ht="30" customHeight="1">
      <c r="A2" s="3" t="s">
        <v>62</v>
      </c>
      <c r="B2" s="3" t="s">
        <v>63</v>
      </c>
      <c r="C2" s="3" t="s">
        <v>64</v>
      </c>
      <c r="D2" s="6">
        <f>Assumptions!$B$9*60/Assumptions!$B$10*Assumptions!$B$5</f>
        <v>1716</v>
      </c>
    </row>
    <row r="3" spans="1:4" ht="30" customHeight="1">
      <c r="A3" s="3" t="s">
        <v>65</v>
      </c>
      <c r="B3" s="3" t="s">
        <v>66</v>
      </c>
      <c r="C3" s="3" t="s">
        <v>67</v>
      </c>
      <c r="D3" s="6">
        <f>Assumptions!$B$9*60/Assumptions!$B$10*Assumptions!$B$5</f>
        <v>1716</v>
      </c>
    </row>
    <row r="4" spans="1:4" ht="30" customHeight="1">
      <c r="A4" s="3" t="s">
        <v>68</v>
      </c>
      <c r="B4" s="3" t="s">
        <v>69</v>
      </c>
      <c r="C4" s="3" t="s">
        <v>64</v>
      </c>
      <c r="D4" s="6">
        <f>Assumptions!$B$11*60/Assumptions!$B$12*Assumptions!$B$6</f>
        <v>480</v>
      </c>
    </row>
    <row r="5" spans="1:4" ht="30" customHeight="1">
      <c r="A5" s="3" t="s">
        <v>70</v>
      </c>
      <c r="B5" s="3" t="s">
        <v>71</v>
      </c>
      <c r="C5" s="3" t="s">
        <v>64</v>
      </c>
      <c r="D5" s="6">
        <f>Assumptions!$B$13*60/Assumptions!$B$15*Assumptions!$B$5</f>
        <v>352</v>
      </c>
    </row>
    <row r="6" spans="1:4" ht="30" customHeight="1">
      <c r="A6" s="3" t="s">
        <v>72</v>
      </c>
      <c r="B6" s="3" t="s">
        <v>73</v>
      </c>
      <c r="C6" s="3" t="s">
        <v>67</v>
      </c>
      <c r="D6" s="6">
        <f>Assumptions!$B$13*60/Assumptions!$B$14*Assumptions!$B$5</f>
        <v>1408</v>
      </c>
    </row>
    <row r="7" spans="1:4" ht="30" customHeight="1">
      <c r="A7" s="3" t="s">
        <v>74</v>
      </c>
      <c r="B7" s="3" t="s">
        <v>75</v>
      </c>
      <c r="C7" s="3" t="s">
        <v>64</v>
      </c>
      <c r="D7" s="6">
        <f>Assumptions!$B$16*Assumptions!$B$6</f>
        <v>30</v>
      </c>
    </row>
    <row r="8" spans="1:4" ht="30" customHeight="1">
      <c r="A8" s="3" t="s">
        <v>76</v>
      </c>
      <c r="B8" s="3" t="s">
        <v>77</v>
      </c>
      <c r="C8" s="3" t="s">
        <v>67</v>
      </c>
      <c r="D8" s="6">
        <f>Assumptions!$B$16*Assumptions!$B$6</f>
        <v>30</v>
      </c>
    </row>
    <row r="9" spans="1:4" ht="30" customHeight="1">
      <c r="A9" s="3" t="s">
        <v>78</v>
      </c>
      <c r="B9" s="3" t="s">
        <v>79</v>
      </c>
      <c r="C9" s="3" t="s">
        <v>80</v>
      </c>
      <c r="D9" s="6">
        <f>0</f>
        <v>0</v>
      </c>
    </row>
    <row r="10" spans="1:4" ht="30" customHeight="1">
      <c r="A10" s="3" t="s">
        <v>81</v>
      </c>
      <c r="B10" s="3" t="s">
        <v>82</v>
      </c>
      <c r="C10" s="3" t="s">
        <v>64</v>
      </c>
      <c r="D10" s="6">
        <f>Assumptions!$B$18*60/Assumptions!$B$10*Assumptions!$B$6</f>
        <v>8640</v>
      </c>
    </row>
    <row r="11" spans="1:4" ht="30" customHeight="1">
      <c r="A11" s="3" t="s">
        <v>83</v>
      </c>
      <c r="B11" s="3" t="s">
        <v>84</v>
      </c>
      <c r="C11" s="3" t="s">
        <v>64</v>
      </c>
      <c r="D11" s="6">
        <f>24*60/Assumptions!$B$19*Assumptions!$B$6</f>
        <v>720</v>
      </c>
    </row>
    <row r="12" spans="1:4" ht="30" customHeight="1">
      <c r="A12" s="3" t="s">
        <v>85</v>
      </c>
      <c r="B12" s="3" t="s">
        <v>86</v>
      </c>
      <c r="C12" s="3" t="s">
        <v>67</v>
      </c>
      <c r="D12" s="6">
        <f>Assumptions!$B$20*60/Assumptions!$B$10*Assumptions!$B$5</f>
        <v>1452</v>
      </c>
    </row>
  </sheetData>
  <pageMargins left="0.7" right="0.7" top="0.75" bottom="0.75" header="0.3" footer="0.3"/>
  <pageSetup fitToHeight="0" orientation="landscape"/>
  <headerFooter>
    <oddFooter>&amp;LMonid finance assessment&amp;RPage &amp;P of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8.7109375" customWidth="1"/>
    <col min="2" max="2" width="18.7109375" customWidth="1"/>
    <col min="3" max="3" width="39.7109375" customWidth="1"/>
    <col min="4" max="4" width="44.7109375" customWidth="1"/>
    <col min="5" max="5" width="51.7109375" customWidth="1"/>
    <col min="6" max="6" width="53.7109375" customWidth="1"/>
    <col min="7" max="7" width="54.7109375" customWidth="1"/>
    <col min="8" max="8" width="40.7109375" customWidth="1"/>
    <col min="9" max="9" width="25.7109375" customWidth="1"/>
    <col min="10" max="10" width="47.7109375" customWidth="1"/>
    <col min="11" max="11" width="65.7109375" customWidth="1"/>
    <col min="12" max="13" width="43.7109375" customWidth="1"/>
    <col min="14" max="14" width="56.7109375" customWidth="1"/>
    <col min="15" max="15" width="40.7109375" customWidth="1"/>
    <col min="16" max="16" width="43.7109375" customWidth="1"/>
    <col min="17" max="17" width="48.7109375" customWidth="1"/>
  </cols>
  <sheetData>
    <row r="1" spans="1:17" ht="38" customHeight="1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</row>
    <row r="2" spans="1:17" ht="100" customHeight="1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114</v>
      </c>
      <c r="L2" s="3" t="s">
        <v>115</v>
      </c>
      <c r="M2" s="3" t="s">
        <v>116</v>
      </c>
      <c r="N2" s="3" t="s">
        <v>117</v>
      </c>
      <c r="O2" s="3" t="s">
        <v>118</v>
      </c>
      <c r="P2" s="3" t="s">
        <v>119</v>
      </c>
      <c r="Q2" s="7" t="s">
        <v>120</v>
      </c>
    </row>
    <row r="3" spans="1:17" ht="100" customHeight="1">
      <c r="A3" s="3" t="s">
        <v>121</v>
      </c>
      <c r="B3" s="3" t="s">
        <v>105</v>
      </c>
      <c r="C3" s="3" t="s">
        <v>122</v>
      </c>
      <c r="D3" s="3" t="s">
        <v>123</v>
      </c>
      <c r="E3" s="3" t="s">
        <v>108</v>
      </c>
      <c r="F3" s="3" t="s">
        <v>124</v>
      </c>
      <c r="G3" s="3" t="s">
        <v>125</v>
      </c>
      <c r="H3" s="3" t="s">
        <v>111</v>
      </c>
      <c r="I3" s="3" t="s">
        <v>126</v>
      </c>
      <c r="J3" s="3" t="s">
        <v>127</v>
      </c>
      <c r="K3" s="3" t="s">
        <v>128</v>
      </c>
      <c r="L3" s="3" t="s">
        <v>115</v>
      </c>
      <c r="M3" s="3" t="s">
        <v>116</v>
      </c>
      <c r="N3" s="3" t="s">
        <v>117</v>
      </c>
      <c r="O3" s="3" t="s">
        <v>118</v>
      </c>
      <c r="P3" s="3" t="s">
        <v>129</v>
      </c>
      <c r="Q3" s="7" t="s">
        <v>130</v>
      </c>
    </row>
    <row r="4" spans="1:17" ht="100" customHeight="1">
      <c r="A4" s="3" t="s">
        <v>131</v>
      </c>
      <c r="B4" s="3" t="s">
        <v>105</v>
      </c>
      <c r="C4" s="3" t="s">
        <v>132</v>
      </c>
      <c r="D4" s="3" t="s">
        <v>133</v>
      </c>
      <c r="E4" s="3" t="s">
        <v>108</v>
      </c>
      <c r="F4" s="3" t="s">
        <v>134</v>
      </c>
      <c r="G4" s="3" t="s">
        <v>135</v>
      </c>
      <c r="H4" s="3" t="s">
        <v>111</v>
      </c>
      <c r="I4" s="3" t="s">
        <v>126</v>
      </c>
      <c r="J4" s="3" t="s">
        <v>136</v>
      </c>
      <c r="K4" s="3" t="s">
        <v>137</v>
      </c>
      <c r="L4" s="3" t="s">
        <v>115</v>
      </c>
      <c r="M4" s="3" t="s">
        <v>116</v>
      </c>
      <c r="N4" s="3" t="s">
        <v>117</v>
      </c>
      <c r="O4" s="3" t="s">
        <v>118</v>
      </c>
      <c r="P4" s="3" t="s">
        <v>129</v>
      </c>
      <c r="Q4" s="7" t="s">
        <v>138</v>
      </c>
    </row>
    <row r="5" spans="1:17" ht="100" customHeight="1">
      <c r="A5" s="3" t="s">
        <v>139</v>
      </c>
      <c r="B5" s="3" t="s">
        <v>105</v>
      </c>
      <c r="C5" s="3" t="s">
        <v>140</v>
      </c>
      <c r="D5" s="3" t="s">
        <v>141</v>
      </c>
      <c r="E5" s="3" t="s">
        <v>108</v>
      </c>
      <c r="F5" s="3" t="s">
        <v>142</v>
      </c>
      <c r="G5" s="3" t="s">
        <v>143</v>
      </c>
      <c r="H5" s="3" t="s">
        <v>111</v>
      </c>
      <c r="I5" s="3" t="s">
        <v>112</v>
      </c>
      <c r="J5" s="3" t="s">
        <v>144</v>
      </c>
      <c r="K5" s="3" t="s">
        <v>145</v>
      </c>
      <c r="L5" s="3" t="s">
        <v>115</v>
      </c>
      <c r="M5" s="3" t="s">
        <v>116</v>
      </c>
      <c r="N5" s="3" t="s">
        <v>117</v>
      </c>
      <c r="O5" s="3" t="s">
        <v>118</v>
      </c>
      <c r="P5" s="3" t="s">
        <v>129</v>
      </c>
      <c r="Q5" s="7" t="s">
        <v>146</v>
      </c>
    </row>
    <row r="6" spans="1:17" ht="100" customHeight="1">
      <c r="A6" s="3" t="s">
        <v>147</v>
      </c>
      <c r="B6" s="3" t="s">
        <v>105</v>
      </c>
      <c r="C6" s="3" t="s">
        <v>148</v>
      </c>
      <c r="D6" s="3" t="s">
        <v>149</v>
      </c>
      <c r="E6" s="3" t="s">
        <v>108</v>
      </c>
      <c r="F6" s="3" t="s">
        <v>150</v>
      </c>
      <c r="G6" s="3" t="s">
        <v>151</v>
      </c>
      <c r="H6" s="3" t="s">
        <v>111</v>
      </c>
      <c r="I6" s="3" t="s">
        <v>152</v>
      </c>
      <c r="J6" s="3" t="s">
        <v>153</v>
      </c>
      <c r="K6" s="3" t="s">
        <v>154</v>
      </c>
      <c r="L6" s="3" t="s">
        <v>115</v>
      </c>
      <c r="M6" s="3" t="s">
        <v>116</v>
      </c>
      <c r="N6" s="3" t="s">
        <v>117</v>
      </c>
      <c r="O6" s="3" t="s">
        <v>118</v>
      </c>
      <c r="P6" s="3" t="s">
        <v>129</v>
      </c>
      <c r="Q6" s="7" t="s">
        <v>155</v>
      </c>
    </row>
    <row r="7" spans="1:17" ht="100" customHeight="1">
      <c r="A7" s="3" t="s">
        <v>156</v>
      </c>
      <c r="B7" s="3" t="s">
        <v>105</v>
      </c>
      <c r="C7" s="3" t="s">
        <v>157</v>
      </c>
      <c r="D7" s="3" t="s">
        <v>158</v>
      </c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159</v>
      </c>
      <c r="K7" s="3" t="s">
        <v>160</v>
      </c>
      <c r="L7" s="3" t="s">
        <v>115</v>
      </c>
      <c r="M7" s="3" t="s">
        <v>116</v>
      </c>
      <c r="N7" s="3" t="s">
        <v>117</v>
      </c>
      <c r="O7" s="3" t="s">
        <v>118</v>
      </c>
      <c r="P7" s="3" t="s">
        <v>119</v>
      </c>
      <c r="Q7" s="7" t="s">
        <v>161</v>
      </c>
    </row>
    <row r="8" spans="1:17" ht="100" customHeight="1">
      <c r="A8" s="3" t="s">
        <v>162</v>
      </c>
      <c r="B8" s="3" t="s">
        <v>105</v>
      </c>
      <c r="C8" s="3" t="s">
        <v>163</v>
      </c>
      <c r="D8" s="3" t="s">
        <v>164</v>
      </c>
      <c r="E8" s="3" t="s">
        <v>108</v>
      </c>
      <c r="F8" s="3" t="s">
        <v>165</v>
      </c>
      <c r="G8" s="3" t="s">
        <v>166</v>
      </c>
      <c r="H8" s="3" t="s">
        <v>111</v>
      </c>
      <c r="I8" s="3" t="s">
        <v>112</v>
      </c>
      <c r="J8" s="3" t="s">
        <v>167</v>
      </c>
      <c r="K8" s="3" t="s">
        <v>168</v>
      </c>
      <c r="L8" s="3" t="s">
        <v>115</v>
      </c>
      <c r="M8" s="3" t="s">
        <v>116</v>
      </c>
      <c r="N8" s="3" t="s">
        <v>117</v>
      </c>
      <c r="O8" s="3" t="s">
        <v>118</v>
      </c>
      <c r="P8" s="3" t="s">
        <v>129</v>
      </c>
      <c r="Q8" s="7" t="s">
        <v>169</v>
      </c>
    </row>
    <row r="9" spans="1:17" ht="100" customHeight="1">
      <c r="A9" s="3" t="s">
        <v>170</v>
      </c>
      <c r="B9" s="3" t="s">
        <v>105</v>
      </c>
      <c r="C9" s="3" t="s">
        <v>171</v>
      </c>
      <c r="D9" s="3" t="s">
        <v>172</v>
      </c>
      <c r="E9" s="3" t="s">
        <v>108</v>
      </c>
      <c r="F9" s="3" t="s">
        <v>173</v>
      </c>
      <c r="G9" s="3" t="s">
        <v>174</v>
      </c>
      <c r="H9" s="3" t="s">
        <v>111</v>
      </c>
      <c r="I9" s="3" t="s">
        <v>126</v>
      </c>
      <c r="J9" s="3" t="s">
        <v>175</v>
      </c>
      <c r="K9" s="3" t="s">
        <v>176</v>
      </c>
      <c r="L9" s="3" t="s">
        <v>115</v>
      </c>
      <c r="M9" s="3" t="s">
        <v>116</v>
      </c>
      <c r="N9" s="3" t="s">
        <v>117</v>
      </c>
      <c r="O9" s="3" t="s">
        <v>118</v>
      </c>
      <c r="P9" s="3" t="s">
        <v>177</v>
      </c>
      <c r="Q9" s="7" t="s">
        <v>178</v>
      </c>
    </row>
    <row r="10" spans="1:17" ht="100" customHeight="1">
      <c r="A10" s="3" t="s">
        <v>179</v>
      </c>
      <c r="B10" s="3" t="s">
        <v>105</v>
      </c>
      <c r="C10" s="3" t="s">
        <v>180</v>
      </c>
      <c r="D10" s="3" t="s">
        <v>181</v>
      </c>
      <c r="E10" s="3" t="s">
        <v>108</v>
      </c>
      <c r="F10" s="3" t="s">
        <v>165</v>
      </c>
      <c r="G10" s="3" t="s">
        <v>166</v>
      </c>
      <c r="H10" s="3" t="s">
        <v>111</v>
      </c>
      <c r="I10" s="3" t="s">
        <v>112</v>
      </c>
      <c r="J10" s="3" t="s">
        <v>182</v>
      </c>
      <c r="K10" s="3" t="s">
        <v>183</v>
      </c>
      <c r="L10" s="3" t="s">
        <v>115</v>
      </c>
      <c r="M10" s="3" t="s">
        <v>116</v>
      </c>
      <c r="N10" s="3" t="s">
        <v>117</v>
      </c>
      <c r="O10" s="3" t="s">
        <v>118</v>
      </c>
      <c r="P10" s="3" t="s">
        <v>129</v>
      </c>
      <c r="Q10" s="7" t="s">
        <v>184</v>
      </c>
    </row>
    <row r="11" spans="1:17" ht="100" customHeight="1">
      <c r="A11" s="3" t="s">
        <v>185</v>
      </c>
      <c r="B11" s="3" t="s">
        <v>105</v>
      </c>
      <c r="C11" s="3" t="s">
        <v>186</v>
      </c>
      <c r="D11" s="3" t="s">
        <v>187</v>
      </c>
      <c r="E11" s="3" t="s">
        <v>108</v>
      </c>
      <c r="F11" s="3" t="s">
        <v>188</v>
      </c>
      <c r="G11" s="3" t="s">
        <v>189</v>
      </c>
      <c r="H11" s="3" t="s">
        <v>111</v>
      </c>
      <c r="I11" s="3" t="s">
        <v>112</v>
      </c>
      <c r="J11" s="3" t="s">
        <v>190</v>
      </c>
      <c r="K11" s="3" t="s">
        <v>191</v>
      </c>
      <c r="L11" s="3" t="s">
        <v>115</v>
      </c>
      <c r="M11" s="3" t="s">
        <v>116</v>
      </c>
      <c r="N11" s="3" t="s">
        <v>117</v>
      </c>
      <c r="O11" s="3" t="s">
        <v>118</v>
      </c>
      <c r="P11" s="3" t="s">
        <v>129</v>
      </c>
      <c r="Q11" s="7" t="s">
        <v>192</v>
      </c>
    </row>
    <row r="12" spans="1:17" ht="100" customHeight="1">
      <c r="A12" s="3" t="s">
        <v>193</v>
      </c>
      <c r="B12" s="3" t="s">
        <v>105</v>
      </c>
      <c r="C12" s="3" t="s">
        <v>194</v>
      </c>
      <c r="D12" s="3" t="s">
        <v>195</v>
      </c>
      <c r="E12" s="3" t="s">
        <v>108</v>
      </c>
      <c r="F12" s="3" t="s">
        <v>124</v>
      </c>
      <c r="G12" s="3" t="s">
        <v>125</v>
      </c>
      <c r="H12" s="3" t="s">
        <v>111</v>
      </c>
      <c r="I12" s="3" t="s">
        <v>126</v>
      </c>
      <c r="J12" s="3" t="s">
        <v>196</v>
      </c>
      <c r="K12" s="3" t="s">
        <v>197</v>
      </c>
      <c r="L12" s="3" t="s">
        <v>115</v>
      </c>
      <c r="M12" s="3" t="s">
        <v>116</v>
      </c>
      <c r="N12" s="3" t="s">
        <v>117</v>
      </c>
      <c r="O12" s="3" t="s">
        <v>118</v>
      </c>
      <c r="P12" s="3" t="s">
        <v>129</v>
      </c>
      <c r="Q12" s="7" t="s">
        <v>198</v>
      </c>
    </row>
    <row r="13" spans="1:17" ht="100" customHeight="1">
      <c r="A13" s="3" t="s">
        <v>199</v>
      </c>
      <c r="B13" s="3" t="s">
        <v>105</v>
      </c>
      <c r="C13" s="3" t="s">
        <v>200</v>
      </c>
      <c r="D13" s="3" t="s">
        <v>201</v>
      </c>
      <c r="E13" s="3" t="s">
        <v>108</v>
      </c>
      <c r="F13" s="3" t="s">
        <v>165</v>
      </c>
      <c r="G13" s="3" t="s">
        <v>166</v>
      </c>
      <c r="H13" s="3" t="s">
        <v>111</v>
      </c>
      <c r="I13" s="3" t="s">
        <v>152</v>
      </c>
      <c r="J13" s="3" t="s">
        <v>202</v>
      </c>
      <c r="K13" s="3" t="s">
        <v>203</v>
      </c>
      <c r="L13" s="3" t="s">
        <v>115</v>
      </c>
      <c r="M13" s="3" t="s">
        <v>116</v>
      </c>
      <c r="N13" s="3" t="s">
        <v>117</v>
      </c>
      <c r="O13" s="3" t="s">
        <v>118</v>
      </c>
      <c r="P13" s="3" t="s">
        <v>129</v>
      </c>
      <c r="Q13" s="7" t="s">
        <v>204</v>
      </c>
    </row>
    <row r="14" spans="1:17" ht="100" customHeight="1">
      <c r="A14" s="3" t="s">
        <v>205</v>
      </c>
      <c r="B14" s="3" t="s">
        <v>105</v>
      </c>
      <c r="C14" s="3" t="s">
        <v>206</v>
      </c>
      <c r="D14" s="3" t="s">
        <v>207</v>
      </c>
      <c r="E14" s="3" t="s">
        <v>108</v>
      </c>
      <c r="F14" s="3" t="s">
        <v>165</v>
      </c>
      <c r="G14" s="3" t="s">
        <v>166</v>
      </c>
      <c r="H14" s="3" t="s">
        <v>111</v>
      </c>
      <c r="I14" s="3" t="s">
        <v>152</v>
      </c>
      <c r="J14" s="3" t="s">
        <v>208</v>
      </c>
      <c r="K14" s="3" t="s">
        <v>209</v>
      </c>
      <c r="L14" s="3" t="s">
        <v>115</v>
      </c>
      <c r="M14" s="3" t="s">
        <v>116</v>
      </c>
      <c r="N14" s="3" t="s">
        <v>117</v>
      </c>
      <c r="O14" s="3" t="s">
        <v>118</v>
      </c>
      <c r="P14" s="3" t="s">
        <v>129</v>
      </c>
      <c r="Q14" s="7" t="s">
        <v>210</v>
      </c>
    </row>
    <row r="15" spans="1:17" ht="100" customHeight="1">
      <c r="A15" s="3" t="s">
        <v>211</v>
      </c>
      <c r="B15" s="3" t="s">
        <v>105</v>
      </c>
      <c r="C15" s="3" t="s">
        <v>212</v>
      </c>
      <c r="D15" s="3" t="s">
        <v>213</v>
      </c>
      <c r="E15" s="3" t="s">
        <v>108</v>
      </c>
      <c r="F15" s="3" t="s">
        <v>214</v>
      </c>
      <c r="G15" s="3" t="s">
        <v>215</v>
      </c>
      <c r="H15" s="3" t="s">
        <v>111</v>
      </c>
      <c r="I15" s="3" t="s">
        <v>112</v>
      </c>
      <c r="J15" s="3" t="s">
        <v>216</v>
      </c>
      <c r="K15" s="3" t="s">
        <v>217</v>
      </c>
      <c r="L15" s="3" t="s">
        <v>115</v>
      </c>
      <c r="M15" s="3" t="s">
        <v>116</v>
      </c>
      <c r="N15" s="3" t="s">
        <v>117</v>
      </c>
      <c r="O15" s="3" t="s">
        <v>118</v>
      </c>
      <c r="P15" s="3" t="s">
        <v>218</v>
      </c>
      <c r="Q15" s="7" t="s">
        <v>219</v>
      </c>
    </row>
    <row r="16" spans="1:17" ht="100" customHeight="1">
      <c r="A16" s="3" t="s">
        <v>220</v>
      </c>
      <c r="B16" s="3" t="s">
        <v>105</v>
      </c>
      <c r="C16" s="3" t="s">
        <v>221</v>
      </c>
      <c r="D16" s="3" t="s">
        <v>222</v>
      </c>
      <c r="E16" s="3" t="s">
        <v>108</v>
      </c>
      <c r="F16" s="3" t="s">
        <v>109</v>
      </c>
      <c r="G16" s="3" t="s">
        <v>110</v>
      </c>
      <c r="H16" s="3" t="s">
        <v>111</v>
      </c>
      <c r="I16" s="3" t="s">
        <v>112</v>
      </c>
      <c r="J16" s="3" t="s">
        <v>223</v>
      </c>
      <c r="K16" s="3" t="s">
        <v>224</v>
      </c>
      <c r="L16" s="3" t="s">
        <v>115</v>
      </c>
      <c r="M16" s="3" t="s">
        <v>116</v>
      </c>
      <c r="N16" s="3" t="s">
        <v>117</v>
      </c>
      <c r="O16" s="3" t="s">
        <v>118</v>
      </c>
      <c r="P16" s="3" t="s">
        <v>119</v>
      </c>
      <c r="Q16" s="7" t="s">
        <v>225</v>
      </c>
    </row>
    <row r="17" spans="1:17" ht="100" customHeight="1">
      <c r="A17" s="3" t="s">
        <v>226</v>
      </c>
      <c r="B17" s="3" t="s">
        <v>105</v>
      </c>
      <c r="C17" s="3" t="s">
        <v>227</v>
      </c>
      <c r="D17" s="3" t="s">
        <v>228</v>
      </c>
      <c r="E17" s="3" t="s">
        <v>108</v>
      </c>
      <c r="F17" s="3" t="s">
        <v>165</v>
      </c>
      <c r="G17" s="3" t="s">
        <v>166</v>
      </c>
      <c r="H17" s="3" t="s">
        <v>111</v>
      </c>
      <c r="I17" s="3" t="s">
        <v>152</v>
      </c>
      <c r="J17" s="3" t="s">
        <v>229</v>
      </c>
      <c r="K17" s="3" t="s">
        <v>230</v>
      </c>
      <c r="L17" s="3" t="s">
        <v>115</v>
      </c>
      <c r="M17" s="3" t="s">
        <v>116</v>
      </c>
      <c r="N17" s="3" t="s">
        <v>117</v>
      </c>
      <c r="O17" s="3" t="s">
        <v>118</v>
      </c>
      <c r="P17" s="3" t="s">
        <v>129</v>
      </c>
      <c r="Q17" s="7" t="s">
        <v>231</v>
      </c>
    </row>
    <row r="18" spans="1:17" ht="100" customHeight="1">
      <c r="A18" s="3" t="s">
        <v>232</v>
      </c>
      <c r="B18" s="3" t="s">
        <v>105</v>
      </c>
      <c r="C18" s="3" t="s">
        <v>233</v>
      </c>
      <c r="D18" s="3" t="s">
        <v>234</v>
      </c>
      <c r="E18" s="3" t="s">
        <v>108</v>
      </c>
      <c r="F18" s="3" t="s">
        <v>235</v>
      </c>
      <c r="G18" s="3" t="s">
        <v>236</v>
      </c>
      <c r="H18" s="3" t="s">
        <v>111</v>
      </c>
      <c r="I18" s="3" t="s">
        <v>126</v>
      </c>
      <c r="J18" s="3" t="s">
        <v>237</v>
      </c>
      <c r="K18" s="3" t="s">
        <v>238</v>
      </c>
      <c r="L18" s="3" t="s">
        <v>115</v>
      </c>
      <c r="M18" s="3" t="s">
        <v>116</v>
      </c>
      <c r="N18" s="3" t="s">
        <v>117</v>
      </c>
      <c r="O18" s="3" t="s">
        <v>118</v>
      </c>
      <c r="P18" s="3" t="s">
        <v>129</v>
      </c>
      <c r="Q18" s="7" t="s">
        <v>239</v>
      </c>
    </row>
    <row r="19" spans="1:17" ht="100" customHeight="1">
      <c r="A19" s="3" t="s">
        <v>240</v>
      </c>
      <c r="B19" s="3" t="s">
        <v>105</v>
      </c>
      <c r="C19" s="3" t="s">
        <v>241</v>
      </c>
      <c r="D19" s="3" t="s">
        <v>242</v>
      </c>
      <c r="E19" s="3" t="s">
        <v>108</v>
      </c>
      <c r="F19" s="3" t="s">
        <v>243</v>
      </c>
      <c r="G19" s="3" t="s">
        <v>244</v>
      </c>
      <c r="H19" s="3" t="s">
        <v>111</v>
      </c>
      <c r="I19" s="3" t="s">
        <v>152</v>
      </c>
      <c r="J19" s="3" t="s">
        <v>245</v>
      </c>
      <c r="K19" s="3" t="s">
        <v>246</v>
      </c>
      <c r="L19" s="3" t="s">
        <v>115</v>
      </c>
      <c r="M19" s="3" t="s">
        <v>116</v>
      </c>
      <c r="N19" s="3" t="s">
        <v>117</v>
      </c>
      <c r="O19" s="3" t="s">
        <v>118</v>
      </c>
      <c r="P19" s="3" t="s">
        <v>247</v>
      </c>
      <c r="Q19" s="7" t="s">
        <v>248</v>
      </c>
    </row>
    <row r="20" spans="1:17" ht="100" customHeight="1">
      <c r="A20" s="3" t="s">
        <v>249</v>
      </c>
      <c r="B20" s="3" t="s">
        <v>105</v>
      </c>
      <c r="C20" s="3" t="s">
        <v>250</v>
      </c>
      <c r="D20" s="3" t="s">
        <v>251</v>
      </c>
      <c r="E20" s="3" t="s">
        <v>108</v>
      </c>
      <c r="F20" s="3" t="s">
        <v>252</v>
      </c>
      <c r="G20" s="3" t="s">
        <v>253</v>
      </c>
      <c r="H20" s="3" t="s">
        <v>111</v>
      </c>
      <c r="I20" s="3" t="s">
        <v>126</v>
      </c>
      <c r="J20" s="3" t="s">
        <v>254</v>
      </c>
      <c r="K20" s="3" t="s">
        <v>255</v>
      </c>
      <c r="L20" s="3" t="s">
        <v>115</v>
      </c>
      <c r="M20" s="3" t="s">
        <v>116</v>
      </c>
      <c r="N20" s="3" t="s">
        <v>117</v>
      </c>
      <c r="O20" s="3" t="s">
        <v>118</v>
      </c>
      <c r="P20" s="3" t="s">
        <v>129</v>
      </c>
      <c r="Q20" s="7" t="s">
        <v>256</v>
      </c>
    </row>
    <row r="21" spans="1:17" ht="100" customHeight="1">
      <c r="A21" s="3" t="s">
        <v>257</v>
      </c>
      <c r="B21" s="3" t="s">
        <v>258</v>
      </c>
      <c r="C21" s="3" t="s">
        <v>259</v>
      </c>
      <c r="D21" s="3" t="s">
        <v>260</v>
      </c>
      <c r="E21" s="3" t="s">
        <v>261</v>
      </c>
      <c r="F21" s="3" t="s">
        <v>188</v>
      </c>
      <c r="G21" s="3" t="s">
        <v>189</v>
      </c>
      <c r="H21" s="3" t="s">
        <v>111</v>
      </c>
      <c r="I21" s="3" t="s">
        <v>112</v>
      </c>
      <c r="J21" s="3" t="s">
        <v>262</v>
      </c>
      <c r="K21" s="3" t="s">
        <v>263</v>
      </c>
      <c r="L21" s="3" t="s">
        <v>264</v>
      </c>
      <c r="M21" s="3" t="s">
        <v>265</v>
      </c>
      <c r="N21" s="3" t="s">
        <v>117</v>
      </c>
      <c r="O21" s="3" t="s">
        <v>118</v>
      </c>
      <c r="P21" s="3" t="s">
        <v>129</v>
      </c>
      <c r="Q21" s="7" t="s">
        <v>266</v>
      </c>
    </row>
    <row r="22" spans="1:17" ht="100" customHeight="1">
      <c r="A22" s="3" t="s">
        <v>267</v>
      </c>
      <c r="B22" s="3" t="s">
        <v>258</v>
      </c>
      <c r="C22" s="3" t="s">
        <v>268</v>
      </c>
      <c r="D22" s="3" t="s">
        <v>269</v>
      </c>
      <c r="E22" s="3" t="s">
        <v>261</v>
      </c>
      <c r="F22" s="3" t="s">
        <v>270</v>
      </c>
      <c r="G22" s="3" t="s">
        <v>271</v>
      </c>
      <c r="H22" s="3" t="s">
        <v>111</v>
      </c>
      <c r="I22" s="3" t="s">
        <v>112</v>
      </c>
      <c r="J22" s="3" t="s">
        <v>272</v>
      </c>
      <c r="K22" s="3" t="s">
        <v>273</v>
      </c>
      <c r="L22" s="3" t="s">
        <v>264</v>
      </c>
      <c r="M22" s="3" t="s">
        <v>265</v>
      </c>
      <c r="N22" s="3" t="s">
        <v>117</v>
      </c>
      <c r="O22" s="3" t="s">
        <v>118</v>
      </c>
      <c r="P22" s="3" t="s">
        <v>129</v>
      </c>
      <c r="Q22" s="7" t="s">
        <v>274</v>
      </c>
    </row>
    <row r="23" spans="1:17" ht="100" customHeight="1">
      <c r="A23" s="3" t="s">
        <v>275</v>
      </c>
      <c r="B23" s="3" t="s">
        <v>258</v>
      </c>
      <c r="C23" s="3" t="s">
        <v>212</v>
      </c>
      <c r="D23" s="3" t="s">
        <v>276</v>
      </c>
      <c r="E23" s="3" t="s">
        <v>261</v>
      </c>
      <c r="F23" s="3" t="s">
        <v>214</v>
      </c>
      <c r="G23" s="3" t="s">
        <v>215</v>
      </c>
      <c r="H23" s="3" t="s">
        <v>111</v>
      </c>
      <c r="I23" s="3" t="s">
        <v>112</v>
      </c>
      <c r="J23" s="3" t="s">
        <v>277</v>
      </c>
      <c r="K23" s="3" t="s">
        <v>278</v>
      </c>
      <c r="L23" s="3" t="s">
        <v>264</v>
      </c>
      <c r="M23" s="3" t="s">
        <v>265</v>
      </c>
      <c r="N23" s="3" t="s">
        <v>117</v>
      </c>
      <c r="O23" s="3" t="s">
        <v>118</v>
      </c>
      <c r="P23" s="3" t="s">
        <v>218</v>
      </c>
      <c r="Q23" s="7" t="s">
        <v>279</v>
      </c>
    </row>
    <row r="24" spans="1:17" ht="100" customHeight="1">
      <c r="A24" s="3" t="s">
        <v>280</v>
      </c>
      <c r="B24" s="3" t="s">
        <v>258</v>
      </c>
      <c r="C24" s="3" t="s">
        <v>281</v>
      </c>
      <c r="D24" s="3" t="s">
        <v>282</v>
      </c>
      <c r="E24" s="3" t="s">
        <v>261</v>
      </c>
      <c r="F24" s="3" t="s">
        <v>165</v>
      </c>
      <c r="G24" s="3" t="s">
        <v>166</v>
      </c>
      <c r="H24" s="3" t="s">
        <v>111</v>
      </c>
      <c r="I24" s="3" t="s">
        <v>112</v>
      </c>
      <c r="J24" s="3" t="s">
        <v>283</v>
      </c>
      <c r="K24" s="3" t="s">
        <v>284</v>
      </c>
      <c r="L24" s="3" t="s">
        <v>264</v>
      </c>
      <c r="M24" s="3" t="s">
        <v>265</v>
      </c>
      <c r="N24" s="3" t="s">
        <v>117</v>
      </c>
      <c r="O24" s="3" t="s">
        <v>118</v>
      </c>
      <c r="P24" s="3" t="s">
        <v>129</v>
      </c>
      <c r="Q24" s="7" t="s">
        <v>285</v>
      </c>
    </row>
    <row r="25" spans="1:17" ht="100" customHeight="1">
      <c r="A25" s="3" t="s">
        <v>286</v>
      </c>
      <c r="B25" s="3" t="s">
        <v>258</v>
      </c>
      <c r="C25" s="3" t="s">
        <v>287</v>
      </c>
      <c r="D25" s="3" t="s">
        <v>288</v>
      </c>
      <c r="E25" s="3" t="s">
        <v>261</v>
      </c>
      <c r="F25" s="3" t="s">
        <v>173</v>
      </c>
      <c r="G25" s="3" t="s">
        <v>174</v>
      </c>
      <c r="H25" s="3" t="s">
        <v>111</v>
      </c>
      <c r="I25" s="3" t="s">
        <v>126</v>
      </c>
      <c r="J25" s="3" t="s">
        <v>289</v>
      </c>
      <c r="K25" s="3" t="s">
        <v>290</v>
      </c>
      <c r="L25" s="3" t="s">
        <v>264</v>
      </c>
      <c r="M25" s="3" t="s">
        <v>265</v>
      </c>
      <c r="N25" s="3" t="s">
        <v>117</v>
      </c>
      <c r="O25" s="3" t="s">
        <v>118</v>
      </c>
      <c r="P25" s="3" t="s">
        <v>177</v>
      </c>
      <c r="Q25" s="7" t="s">
        <v>291</v>
      </c>
    </row>
    <row r="26" spans="1:17" ht="100" customHeight="1">
      <c r="A26" s="3" t="s">
        <v>292</v>
      </c>
      <c r="B26" s="3" t="s">
        <v>293</v>
      </c>
      <c r="C26" s="3" t="s">
        <v>294</v>
      </c>
      <c r="D26" s="3" t="s">
        <v>295</v>
      </c>
      <c r="E26" s="3" t="s">
        <v>296</v>
      </c>
      <c r="F26" s="3" t="s">
        <v>124</v>
      </c>
      <c r="G26" s="3" t="s">
        <v>125</v>
      </c>
      <c r="H26" s="3" t="s">
        <v>111</v>
      </c>
      <c r="I26" s="3" t="s">
        <v>126</v>
      </c>
      <c r="J26" s="3" t="s">
        <v>297</v>
      </c>
      <c r="K26" s="3" t="s">
        <v>298</v>
      </c>
      <c r="L26" s="3" t="s">
        <v>299</v>
      </c>
      <c r="M26" s="3" t="s">
        <v>300</v>
      </c>
      <c r="N26" s="3" t="s">
        <v>117</v>
      </c>
      <c r="O26" s="3" t="s">
        <v>118</v>
      </c>
      <c r="P26" s="3" t="s">
        <v>129</v>
      </c>
      <c r="Q26" s="7" t="s">
        <v>301</v>
      </c>
    </row>
    <row r="27" spans="1:17" ht="100" customHeight="1">
      <c r="A27" s="3" t="s">
        <v>302</v>
      </c>
      <c r="B27" s="3" t="s">
        <v>293</v>
      </c>
      <c r="C27" s="3" t="s">
        <v>303</v>
      </c>
      <c r="D27" s="3" t="s">
        <v>304</v>
      </c>
      <c r="E27" s="3" t="s">
        <v>296</v>
      </c>
      <c r="F27" s="3" t="s">
        <v>252</v>
      </c>
      <c r="G27" s="3" t="s">
        <v>305</v>
      </c>
      <c r="H27" s="3" t="s">
        <v>111</v>
      </c>
      <c r="I27" s="3" t="s">
        <v>126</v>
      </c>
      <c r="J27" s="3" t="s">
        <v>306</v>
      </c>
      <c r="K27" s="3" t="s">
        <v>307</v>
      </c>
      <c r="L27" s="3" t="s">
        <v>299</v>
      </c>
      <c r="M27" s="3" t="s">
        <v>300</v>
      </c>
      <c r="N27" s="3" t="s">
        <v>117</v>
      </c>
      <c r="O27" s="3" t="s">
        <v>118</v>
      </c>
      <c r="P27" s="3" t="s">
        <v>129</v>
      </c>
      <c r="Q27" s="7" t="s">
        <v>308</v>
      </c>
    </row>
    <row r="28" spans="1:17" ht="100" customHeight="1">
      <c r="A28" s="3" t="s">
        <v>309</v>
      </c>
      <c r="B28" s="3" t="s">
        <v>293</v>
      </c>
      <c r="C28" s="3" t="s">
        <v>310</v>
      </c>
      <c r="D28" s="3" t="s">
        <v>311</v>
      </c>
      <c r="E28" s="3" t="s">
        <v>296</v>
      </c>
      <c r="F28" s="3" t="s">
        <v>312</v>
      </c>
      <c r="G28" s="3" t="s">
        <v>313</v>
      </c>
      <c r="H28" s="3" t="s">
        <v>111</v>
      </c>
      <c r="I28" s="3" t="s">
        <v>126</v>
      </c>
      <c r="J28" s="3" t="s">
        <v>314</v>
      </c>
      <c r="K28" s="3" t="s">
        <v>315</v>
      </c>
      <c r="L28" s="3" t="s">
        <v>299</v>
      </c>
      <c r="M28" s="3" t="s">
        <v>300</v>
      </c>
      <c r="N28" s="3" t="s">
        <v>117</v>
      </c>
      <c r="O28" s="3" t="s">
        <v>118</v>
      </c>
      <c r="P28" s="3" t="s">
        <v>316</v>
      </c>
      <c r="Q28" s="7" t="s">
        <v>317</v>
      </c>
    </row>
    <row r="29" spans="1:17" ht="100" customHeight="1">
      <c r="A29" s="3" t="s">
        <v>318</v>
      </c>
      <c r="B29" s="3" t="s">
        <v>293</v>
      </c>
      <c r="C29" s="3" t="s">
        <v>194</v>
      </c>
      <c r="D29" s="3" t="s">
        <v>319</v>
      </c>
      <c r="E29" s="3" t="s">
        <v>296</v>
      </c>
      <c r="F29" s="3" t="s">
        <v>124</v>
      </c>
      <c r="G29" s="3" t="s">
        <v>125</v>
      </c>
      <c r="H29" s="3" t="s">
        <v>111</v>
      </c>
      <c r="I29" s="3" t="s">
        <v>126</v>
      </c>
      <c r="J29" s="3" t="s">
        <v>320</v>
      </c>
      <c r="K29" s="3" t="s">
        <v>321</v>
      </c>
      <c r="L29" s="3" t="s">
        <v>299</v>
      </c>
      <c r="M29" s="3" t="s">
        <v>300</v>
      </c>
      <c r="N29" s="3" t="s">
        <v>117</v>
      </c>
      <c r="O29" s="3" t="s">
        <v>118</v>
      </c>
      <c r="P29" s="3" t="s">
        <v>129</v>
      </c>
      <c r="Q29" s="7" t="s">
        <v>322</v>
      </c>
    </row>
    <row r="30" spans="1:17" ht="100" customHeight="1">
      <c r="A30" s="3" t="s">
        <v>323</v>
      </c>
      <c r="B30" s="3" t="s">
        <v>324</v>
      </c>
      <c r="C30" s="3" t="s">
        <v>325</v>
      </c>
      <c r="D30" s="3" t="s">
        <v>326</v>
      </c>
      <c r="E30" s="3" t="s">
        <v>327</v>
      </c>
      <c r="F30" s="3" t="s">
        <v>109</v>
      </c>
      <c r="G30" s="3" t="s">
        <v>110</v>
      </c>
      <c r="H30" s="3" t="s">
        <v>111</v>
      </c>
      <c r="I30" s="3" t="s">
        <v>112</v>
      </c>
      <c r="J30" s="3" t="s">
        <v>328</v>
      </c>
      <c r="K30" s="3" t="s">
        <v>329</v>
      </c>
      <c r="L30" s="3" t="s">
        <v>330</v>
      </c>
      <c r="M30" s="3" t="s">
        <v>331</v>
      </c>
      <c r="N30" s="3" t="s">
        <v>117</v>
      </c>
      <c r="O30" s="3" t="s">
        <v>118</v>
      </c>
      <c r="P30" s="3" t="s">
        <v>119</v>
      </c>
      <c r="Q30" s="7" t="s">
        <v>332</v>
      </c>
    </row>
    <row r="31" spans="1:17" ht="100" customHeight="1">
      <c r="A31" s="3" t="s">
        <v>333</v>
      </c>
      <c r="B31" s="3" t="s">
        <v>324</v>
      </c>
      <c r="C31" s="3" t="s">
        <v>334</v>
      </c>
      <c r="D31" s="3" t="s">
        <v>335</v>
      </c>
      <c r="E31" s="3" t="s">
        <v>327</v>
      </c>
      <c r="F31" s="3" t="s">
        <v>336</v>
      </c>
      <c r="G31" s="3" t="s">
        <v>337</v>
      </c>
      <c r="H31" s="3" t="s">
        <v>111</v>
      </c>
      <c r="I31" s="3" t="s">
        <v>126</v>
      </c>
      <c r="J31" s="3" t="s">
        <v>338</v>
      </c>
      <c r="K31" s="3" t="s">
        <v>339</v>
      </c>
      <c r="L31" s="3" t="s">
        <v>330</v>
      </c>
      <c r="M31" s="3" t="s">
        <v>331</v>
      </c>
      <c r="N31" s="3" t="s">
        <v>117</v>
      </c>
      <c r="O31" s="3" t="s">
        <v>118</v>
      </c>
      <c r="P31" s="3" t="s">
        <v>129</v>
      </c>
      <c r="Q31" s="7" t="s">
        <v>340</v>
      </c>
    </row>
    <row r="32" spans="1:17" ht="100" customHeight="1">
      <c r="A32" s="3" t="s">
        <v>341</v>
      </c>
      <c r="B32" s="3" t="s">
        <v>324</v>
      </c>
      <c r="C32" s="3" t="s">
        <v>342</v>
      </c>
      <c r="D32" s="3" t="s">
        <v>343</v>
      </c>
      <c r="E32" s="3" t="s">
        <v>327</v>
      </c>
      <c r="F32" s="3" t="s">
        <v>173</v>
      </c>
      <c r="G32" s="3" t="s">
        <v>174</v>
      </c>
      <c r="H32" s="3" t="s">
        <v>111</v>
      </c>
      <c r="I32" s="3" t="s">
        <v>126</v>
      </c>
      <c r="J32" s="3" t="s">
        <v>344</v>
      </c>
      <c r="K32" s="3" t="s">
        <v>345</v>
      </c>
      <c r="L32" s="3" t="s">
        <v>330</v>
      </c>
      <c r="M32" s="3" t="s">
        <v>331</v>
      </c>
      <c r="N32" s="3" t="s">
        <v>117</v>
      </c>
      <c r="O32" s="3" t="s">
        <v>118</v>
      </c>
      <c r="P32" s="3" t="s">
        <v>177</v>
      </c>
      <c r="Q32" s="7" t="s">
        <v>346</v>
      </c>
    </row>
    <row r="33" spans="1:17" ht="100" customHeight="1">
      <c r="A33" s="3" t="s">
        <v>347</v>
      </c>
      <c r="B33" s="3" t="s">
        <v>324</v>
      </c>
      <c r="C33" s="3" t="s">
        <v>348</v>
      </c>
      <c r="D33" s="3" t="s">
        <v>349</v>
      </c>
      <c r="E33" s="3" t="s">
        <v>327</v>
      </c>
      <c r="F33" s="3" t="s">
        <v>243</v>
      </c>
      <c r="G33" s="3" t="s">
        <v>244</v>
      </c>
      <c r="H33" s="3" t="s">
        <v>111</v>
      </c>
      <c r="I33" s="3" t="s">
        <v>152</v>
      </c>
      <c r="J33" s="3" t="s">
        <v>350</v>
      </c>
      <c r="K33" s="3" t="s">
        <v>351</v>
      </c>
      <c r="L33" s="3" t="s">
        <v>330</v>
      </c>
      <c r="M33" s="3" t="s">
        <v>331</v>
      </c>
      <c r="N33" s="3" t="s">
        <v>117</v>
      </c>
      <c r="O33" s="3" t="s">
        <v>118</v>
      </c>
      <c r="P33" s="3" t="s">
        <v>247</v>
      </c>
      <c r="Q33" s="7" t="s">
        <v>352</v>
      </c>
    </row>
    <row r="34" spans="1:17" ht="100" customHeight="1">
      <c r="A34" s="3" t="s">
        <v>353</v>
      </c>
      <c r="B34" s="3" t="s">
        <v>324</v>
      </c>
      <c r="C34" s="3" t="s">
        <v>354</v>
      </c>
      <c r="D34" s="3" t="s">
        <v>355</v>
      </c>
      <c r="E34" s="3" t="s">
        <v>327</v>
      </c>
      <c r="F34" s="3" t="s">
        <v>270</v>
      </c>
      <c r="G34" s="3" t="s">
        <v>356</v>
      </c>
      <c r="H34" s="3" t="s">
        <v>111</v>
      </c>
      <c r="I34" s="3" t="s">
        <v>112</v>
      </c>
      <c r="J34" s="3" t="s">
        <v>357</v>
      </c>
      <c r="K34" s="3" t="s">
        <v>358</v>
      </c>
      <c r="L34" s="3" t="s">
        <v>330</v>
      </c>
      <c r="M34" s="3" t="s">
        <v>331</v>
      </c>
      <c r="N34" s="3" t="s">
        <v>117</v>
      </c>
      <c r="O34" s="3" t="s">
        <v>118</v>
      </c>
      <c r="P34" s="3" t="s">
        <v>129</v>
      </c>
      <c r="Q34" s="7" t="s">
        <v>359</v>
      </c>
    </row>
    <row r="35" spans="1:17" ht="100" customHeight="1">
      <c r="A35" s="3" t="s">
        <v>360</v>
      </c>
      <c r="B35" s="3" t="s">
        <v>324</v>
      </c>
      <c r="C35" s="3" t="s">
        <v>361</v>
      </c>
      <c r="D35" s="3" t="s">
        <v>362</v>
      </c>
      <c r="E35" s="3" t="s">
        <v>327</v>
      </c>
      <c r="F35" s="3" t="s">
        <v>363</v>
      </c>
      <c r="G35" s="3" t="s">
        <v>110</v>
      </c>
      <c r="H35" s="3" t="s">
        <v>111</v>
      </c>
      <c r="I35" s="3" t="s">
        <v>112</v>
      </c>
      <c r="J35" s="3" t="s">
        <v>364</v>
      </c>
      <c r="K35" s="3" t="s">
        <v>365</v>
      </c>
      <c r="L35" s="3" t="s">
        <v>330</v>
      </c>
      <c r="M35" s="3" t="s">
        <v>331</v>
      </c>
      <c r="N35" s="3" t="s">
        <v>117</v>
      </c>
      <c r="O35" s="3" t="s">
        <v>118</v>
      </c>
      <c r="P35" s="3" t="s">
        <v>119</v>
      </c>
      <c r="Q35" s="7" t="s">
        <v>366</v>
      </c>
    </row>
    <row r="36" spans="1:17" ht="100" customHeight="1">
      <c r="A36" s="3" t="s">
        <v>367</v>
      </c>
      <c r="B36" s="3" t="s">
        <v>324</v>
      </c>
      <c r="C36" s="3" t="s">
        <v>368</v>
      </c>
      <c r="D36" s="3" t="s">
        <v>369</v>
      </c>
      <c r="E36" s="3" t="s">
        <v>327</v>
      </c>
      <c r="F36" s="3" t="s">
        <v>252</v>
      </c>
      <c r="G36" s="3" t="s">
        <v>305</v>
      </c>
      <c r="H36" s="3" t="s">
        <v>111</v>
      </c>
      <c r="I36" s="3" t="s">
        <v>126</v>
      </c>
      <c r="J36" s="3" t="s">
        <v>370</v>
      </c>
      <c r="K36" s="3" t="s">
        <v>371</v>
      </c>
      <c r="L36" s="3" t="s">
        <v>330</v>
      </c>
      <c r="M36" s="3" t="s">
        <v>331</v>
      </c>
      <c r="N36" s="3" t="s">
        <v>117</v>
      </c>
      <c r="O36" s="3" t="s">
        <v>118</v>
      </c>
      <c r="P36" s="3" t="s">
        <v>129</v>
      </c>
      <c r="Q36" s="7" t="s">
        <v>372</v>
      </c>
    </row>
    <row r="37" spans="1:17" ht="100" customHeight="1">
      <c r="A37" s="3" t="s">
        <v>373</v>
      </c>
      <c r="B37" s="3" t="s">
        <v>324</v>
      </c>
      <c r="C37" s="3" t="s">
        <v>374</v>
      </c>
      <c r="D37" s="3" t="s">
        <v>375</v>
      </c>
      <c r="E37" s="3" t="s">
        <v>327</v>
      </c>
      <c r="F37" s="3" t="s">
        <v>376</v>
      </c>
      <c r="G37" s="3" t="s">
        <v>377</v>
      </c>
      <c r="H37" s="3" t="s">
        <v>111</v>
      </c>
      <c r="I37" s="3" t="s">
        <v>126</v>
      </c>
      <c r="J37" s="3" t="s">
        <v>378</v>
      </c>
      <c r="K37" s="3" t="s">
        <v>379</v>
      </c>
      <c r="L37" s="3" t="s">
        <v>330</v>
      </c>
      <c r="M37" s="3" t="s">
        <v>331</v>
      </c>
      <c r="N37" s="3" t="s">
        <v>117</v>
      </c>
      <c r="O37" s="3" t="s">
        <v>118</v>
      </c>
      <c r="P37" s="3" t="s">
        <v>129</v>
      </c>
      <c r="Q37" s="7" t="s">
        <v>380</v>
      </c>
    </row>
    <row r="38" spans="1:17" ht="100" customHeight="1">
      <c r="A38" s="3" t="s">
        <v>381</v>
      </c>
      <c r="B38" s="3" t="s">
        <v>324</v>
      </c>
      <c r="C38" s="3" t="s">
        <v>382</v>
      </c>
      <c r="D38" s="3" t="s">
        <v>383</v>
      </c>
      <c r="E38" s="3" t="s">
        <v>327</v>
      </c>
      <c r="F38" s="3" t="s">
        <v>214</v>
      </c>
      <c r="G38" s="3" t="s">
        <v>215</v>
      </c>
      <c r="H38" s="3" t="s">
        <v>111</v>
      </c>
      <c r="I38" s="3" t="s">
        <v>112</v>
      </c>
      <c r="J38" s="3" t="s">
        <v>384</v>
      </c>
      <c r="K38" s="3" t="s">
        <v>385</v>
      </c>
      <c r="L38" s="3" t="s">
        <v>330</v>
      </c>
      <c r="M38" s="3" t="s">
        <v>331</v>
      </c>
      <c r="N38" s="3" t="s">
        <v>117</v>
      </c>
      <c r="O38" s="3" t="s">
        <v>118</v>
      </c>
      <c r="P38" s="3" t="s">
        <v>218</v>
      </c>
      <c r="Q38" s="7" t="s">
        <v>386</v>
      </c>
    </row>
    <row r="39" spans="1:17" ht="100" customHeight="1">
      <c r="A39" s="3" t="s">
        <v>387</v>
      </c>
      <c r="B39" s="3" t="s">
        <v>324</v>
      </c>
      <c r="C39" s="3" t="s">
        <v>388</v>
      </c>
      <c r="D39" s="3" t="s">
        <v>389</v>
      </c>
      <c r="E39" s="3" t="s">
        <v>327</v>
      </c>
      <c r="F39" s="3" t="s">
        <v>235</v>
      </c>
      <c r="G39" s="3" t="s">
        <v>236</v>
      </c>
      <c r="H39" s="3" t="s">
        <v>111</v>
      </c>
      <c r="I39" s="3" t="s">
        <v>126</v>
      </c>
      <c r="J39" s="3" t="s">
        <v>390</v>
      </c>
      <c r="K39" s="3" t="s">
        <v>391</v>
      </c>
      <c r="L39" s="3" t="s">
        <v>330</v>
      </c>
      <c r="M39" s="3" t="s">
        <v>331</v>
      </c>
      <c r="N39" s="3" t="s">
        <v>117</v>
      </c>
      <c r="O39" s="3" t="s">
        <v>118</v>
      </c>
      <c r="P39" s="3" t="s">
        <v>129</v>
      </c>
      <c r="Q39" s="7" t="s">
        <v>392</v>
      </c>
    </row>
    <row r="40" spans="1:17" ht="100" customHeight="1">
      <c r="A40" s="3" t="s">
        <v>393</v>
      </c>
      <c r="B40" s="3" t="s">
        <v>324</v>
      </c>
      <c r="C40" s="3" t="s">
        <v>394</v>
      </c>
      <c r="D40" s="3" t="s">
        <v>395</v>
      </c>
      <c r="E40" s="3" t="s">
        <v>327</v>
      </c>
      <c r="F40" s="3" t="s">
        <v>252</v>
      </c>
      <c r="G40" s="3" t="s">
        <v>305</v>
      </c>
      <c r="H40" s="3" t="s">
        <v>111</v>
      </c>
      <c r="I40" s="3" t="s">
        <v>126</v>
      </c>
      <c r="J40" s="3" t="s">
        <v>396</v>
      </c>
      <c r="K40" s="3" t="s">
        <v>397</v>
      </c>
      <c r="L40" s="3" t="s">
        <v>330</v>
      </c>
      <c r="M40" s="3" t="s">
        <v>331</v>
      </c>
      <c r="N40" s="3" t="s">
        <v>117</v>
      </c>
      <c r="O40" s="3" t="s">
        <v>118</v>
      </c>
      <c r="P40" s="3" t="s">
        <v>129</v>
      </c>
      <c r="Q40" s="7" t="s">
        <v>398</v>
      </c>
    </row>
    <row r="41" spans="1:17" ht="100" customHeight="1">
      <c r="A41" s="3" t="s">
        <v>399</v>
      </c>
      <c r="B41" s="3" t="s">
        <v>324</v>
      </c>
      <c r="C41" s="3" t="s">
        <v>400</v>
      </c>
      <c r="D41" s="3" t="s">
        <v>401</v>
      </c>
      <c r="E41" s="3" t="s">
        <v>327</v>
      </c>
      <c r="F41" s="3" t="s">
        <v>336</v>
      </c>
      <c r="G41" s="3" t="s">
        <v>402</v>
      </c>
      <c r="H41" s="3" t="s">
        <v>111</v>
      </c>
      <c r="I41" s="3" t="s">
        <v>126</v>
      </c>
      <c r="J41" s="3" t="s">
        <v>403</v>
      </c>
      <c r="K41" s="3" t="s">
        <v>404</v>
      </c>
      <c r="L41" s="3" t="s">
        <v>330</v>
      </c>
      <c r="M41" s="3" t="s">
        <v>331</v>
      </c>
      <c r="N41" s="3" t="s">
        <v>117</v>
      </c>
      <c r="O41" s="3" t="s">
        <v>118</v>
      </c>
      <c r="P41" s="3" t="s">
        <v>129</v>
      </c>
      <c r="Q41" s="7" t="s">
        <v>405</v>
      </c>
    </row>
    <row r="42" spans="1:17" ht="100" customHeight="1">
      <c r="A42" s="3" t="s">
        <v>406</v>
      </c>
      <c r="B42" s="3" t="s">
        <v>407</v>
      </c>
      <c r="C42" s="3" t="s">
        <v>408</v>
      </c>
      <c r="D42" s="3" t="s">
        <v>409</v>
      </c>
      <c r="E42" s="3" t="s">
        <v>410</v>
      </c>
      <c r="F42" s="3" t="s">
        <v>411</v>
      </c>
      <c r="G42" s="3" t="s">
        <v>412</v>
      </c>
      <c r="H42" s="3" t="s">
        <v>111</v>
      </c>
      <c r="I42" s="3" t="s">
        <v>126</v>
      </c>
      <c r="J42" s="3" t="s">
        <v>413</v>
      </c>
      <c r="K42" s="3" t="s">
        <v>414</v>
      </c>
      <c r="L42" s="3" t="s">
        <v>415</v>
      </c>
      <c r="M42" s="3" t="s">
        <v>416</v>
      </c>
      <c r="N42" s="3" t="s">
        <v>117</v>
      </c>
      <c r="O42" s="3" t="s">
        <v>118</v>
      </c>
      <c r="P42" s="3" t="s">
        <v>129</v>
      </c>
      <c r="Q42" s="7" t="s">
        <v>417</v>
      </c>
    </row>
    <row r="43" spans="1:17" ht="100" customHeight="1">
      <c r="A43" s="3" t="s">
        <v>418</v>
      </c>
      <c r="B43" s="3" t="s">
        <v>407</v>
      </c>
      <c r="C43" s="3" t="s">
        <v>342</v>
      </c>
      <c r="D43" s="3" t="s">
        <v>419</v>
      </c>
      <c r="E43" s="3" t="s">
        <v>410</v>
      </c>
      <c r="F43" s="3" t="s">
        <v>173</v>
      </c>
      <c r="G43" s="3" t="s">
        <v>174</v>
      </c>
      <c r="H43" s="3" t="s">
        <v>111</v>
      </c>
      <c r="I43" s="3" t="s">
        <v>126</v>
      </c>
      <c r="J43" s="3" t="s">
        <v>420</v>
      </c>
      <c r="K43" s="3" t="s">
        <v>421</v>
      </c>
      <c r="L43" s="3" t="s">
        <v>415</v>
      </c>
      <c r="M43" s="3" t="s">
        <v>416</v>
      </c>
      <c r="N43" s="3" t="s">
        <v>117</v>
      </c>
      <c r="O43" s="3" t="s">
        <v>118</v>
      </c>
      <c r="P43" s="3" t="s">
        <v>177</v>
      </c>
      <c r="Q43" s="7" t="s">
        <v>422</v>
      </c>
    </row>
    <row r="44" spans="1:17" ht="100" customHeight="1">
      <c r="A44" s="3" t="s">
        <v>423</v>
      </c>
      <c r="B44" s="3" t="s">
        <v>407</v>
      </c>
      <c r="C44" s="3" t="s">
        <v>424</v>
      </c>
      <c r="D44" s="3" t="s">
        <v>425</v>
      </c>
      <c r="E44" s="3" t="s">
        <v>410</v>
      </c>
      <c r="F44" s="3" t="s">
        <v>109</v>
      </c>
      <c r="G44" s="3" t="s">
        <v>110</v>
      </c>
      <c r="H44" s="3" t="s">
        <v>111</v>
      </c>
      <c r="I44" s="3" t="s">
        <v>112</v>
      </c>
      <c r="J44" s="3" t="s">
        <v>426</v>
      </c>
      <c r="K44" s="3" t="s">
        <v>427</v>
      </c>
      <c r="L44" s="3" t="s">
        <v>415</v>
      </c>
      <c r="M44" s="3" t="s">
        <v>416</v>
      </c>
      <c r="N44" s="3" t="s">
        <v>117</v>
      </c>
      <c r="O44" s="3" t="s">
        <v>118</v>
      </c>
      <c r="P44" s="3" t="s">
        <v>119</v>
      </c>
      <c r="Q44" s="7" t="s">
        <v>428</v>
      </c>
    </row>
    <row r="45" spans="1:17" ht="100" customHeight="1">
      <c r="A45" s="3" t="s">
        <v>429</v>
      </c>
      <c r="B45" s="3" t="s">
        <v>407</v>
      </c>
      <c r="C45" s="3" t="s">
        <v>430</v>
      </c>
      <c r="D45" s="3" t="s">
        <v>431</v>
      </c>
      <c r="E45" s="3" t="s">
        <v>410</v>
      </c>
      <c r="F45" s="3" t="s">
        <v>124</v>
      </c>
      <c r="G45" s="3" t="s">
        <v>432</v>
      </c>
      <c r="H45" s="3" t="s">
        <v>111</v>
      </c>
      <c r="I45" s="3" t="s">
        <v>126</v>
      </c>
      <c r="J45" s="3" t="s">
        <v>433</v>
      </c>
      <c r="K45" s="3" t="s">
        <v>434</v>
      </c>
      <c r="L45" s="3" t="s">
        <v>415</v>
      </c>
      <c r="M45" s="3" t="s">
        <v>416</v>
      </c>
      <c r="N45" s="3" t="s">
        <v>117</v>
      </c>
      <c r="O45" s="3" t="s">
        <v>118</v>
      </c>
      <c r="P45" s="3" t="s">
        <v>129</v>
      </c>
      <c r="Q45" s="7" t="s">
        <v>435</v>
      </c>
    </row>
    <row r="46" spans="1:17" ht="100" customHeight="1">
      <c r="A46" s="3" t="s">
        <v>436</v>
      </c>
      <c r="B46" s="3" t="s">
        <v>407</v>
      </c>
      <c r="C46" s="3" t="s">
        <v>437</v>
      </c>
      <c r="D46" s="3" t="s">
        <v>438</v>
      </c>
      <c r="E46" s="3" t="s">
        <v>410</v>
      </c>
      <c r="F46" s="3" t="s">
        <v>252</v>
      </c>
      <c r="G46" s="3" t="s">
        <v>305</v>
      </c>
      <c r="H46" s="3" t="s">
        <v>111</v>
      </c>
      <c r="I46" s="3" t="s">
        <v>126</v>
      </c>
      <c r="J46" s="3" t="s">
        <v>439</v>
      </c>
      <c r="K46" s="3" t="s">
        <v>440</v>
      </c>
      <c r="L46" s="3" t="s">
        <v>415</v>
      </c>
      <c r="M46" s="3" t="s">
        <v>416</v>
      </c>
      <c r="N46" s="3" t="s">
        <v>117</v>
      </c>
      <c r="O46" s="3" t="s">
        <v>118</v>
      </c>
      <c r="P46" s="3" t="s">
        <v>129</v>
      </c>
      <c r="Q46" s="7" t="s">
        <v>441</v>
      </c>
    </row>
    <row r="47" spans="1:17" ht="100" customHeight="1">
      <c r="A47" s="3" t="s">
        <v>442</v>
      </c>
      <c r="B47" s="3" t="s">
        <v>407</v>
      </c>
      <c r="C47" s="3" t="s">
        <v>443</v>
      </c>
      <c r="D47" s="3" t="s">
        <v>444</v>
      </c>
      <c r="E47" s="3" t="s">
        <v>410</v>
      </c>
      <c r="F47" s="3" t="s">
        <v>134</v>
      </c>
      <c r="G47" s="3" t="s">
        <v>135</v>
      </c>
      <c r="H47" s="3" t="s">
        <v>111</v>
      </c>
      <c r="I47" s="3" t="s">
        <v>126</v>
      </c>
      <c r="J47" s="3" t="s">
        <v>445</v>
      </c>
      <c r="K47" s="3" t="s">
        <v>446</v>
      </c>
      <c r="L47" s="3" t="s">
        <v>415</v>
      </c>
      <c r="M47" s="3" t="s">
        <v>416</v>
      </c>
      <c r="N47" s="3" t="s">
        <v>117</v>
      </c>
      <c r="O47" s="3" t="s">
        <v>118</v>
      </c>
      <c r="P47" s="3" t="s">
        <v>129</v>
      </c>
      <c r="Q47" s="7" t="s">
        <v>447</v>
      </c>
    </row>
    <row r="48" spans="1:17" ht="100" customHeight="1">
      <c r="A48" s="3" t="s">
        <v>448</v>
      </c>
      <c r="B48" s="3" t="s">
        <v>407</v>
      </c>
      <c r="C48" s="3" t="s">
        <v>354</v>
      </c>
      <c r="D48" s="3" t="s">
        <v>449</v>
      </c>
      <c r="E48" s="3" t="s">
        <v>410</v>
      </c>
      <c r="F48" s="3" t="s">
        <v>450</v>
      </c>
      <c r="G48" s="3" t="s">
        <v>451</v>
      </c>
      <c r="H48" s="3" t="s">
        <v>111</v>
      </c>
      <c r="I48" s="3" t="s">
        <v>112</v>
      </c>
      <c r="J48" s="3" t="s">
        <v>452</v>
      </c>
      <c r="K48" s="3" t="s">
        <v>453</v>
      </c>
      <c r="L48" s="3" t="s">
        <v>415</v>
      </c>
      <c r="M48" s="3" t="s">
        <v>416</v>
      </c>
      <c r="N48" s="3" t="s">
        <v>117</v>
      </c>
      <c r="O48" s="3" t="s">
        <v>118</v>
      </c>
      <c r="P48" s="3" t="s">
        <v>129</v>
      </c>
      <c r="Q48" s="7" t="s">
        <v>454</v>
      </c>
    </row>
    <row r="49" spans="1:17" ht="100" customHeight="1">
      <c r="A49" s="3" t="s">
        <v>455</v>
      </c>
      <c r="B49" s="3" t="s">
        <v>456</v>
      </c>
      <c r="C49" s="3" t="s">
        <v>457</v>
      </c>
      <c r="D49" s="3" t="s">
        <v>458</v>
      </c>
      <c r="E49" s="3" t="s">
        <v>459</v>
      </c>
      <c r="F49" s="3" t="s">
        <v>109</v>
      </c>
      <c r="G49" s="3" t="s">
        <v>110</v>
      </c>
      <c r="H49" s="3" t="s">
        <v>111</v>
      </c>
      <c r="I49" s="3" t="s">
        <v>112</v>
      </c>
      <c r="J49" s="3" t="s">
        <v>460</v>
      </c>
      <c r="K49" s="3" t="s">
        <v>461</v>
      </c>
      <c r="L49" s="3" t="s">
        <v>462</v>
      </c>
      <c r="M49" s="3" t="s">
        <v>463</v>
      </c>
      <c r="N49" s="3" t="s">
        <v>117</v>
      </c>
      <c r="O49" s="3" t="s">
        <v>118</v>
      </c>
      <c r="P49" s="3" t="s">
        <v>119</v>
      </c>
      <c r="Q49" s="7" t="s">
        <v>464</v>
      </c>
    </row>
    <row r="50" spans="1:17" ht="100" customHeight="1">
      <c r="A50" s="3" t="s">
        <v>465</v>
      </c>
      <c r="B50" s="3" t="s">
        <v>456</v>
      </c>
      <c r="C50" s="3" t="s">
        <v>466</v>
      </c>
      <c r="D50" s="3" t="s">
        <v>467</v>
      </c>
      <c r="E50" s="3" t="s">
        <v>459</v>
      </c>
      <c r="F50" s="3" t="s">
        <v>468</v>
      </c>
      <c r="G50" s="3" t="s">
        <v>143</v>
      </c>
      <c r="H50" s="3" t="s">
        <v>111</v>
      </c>
      <c r="I50" s="3" t="s">
        <v>112</v>
      </c>
      <c r="J50" s="3" t="s">
        <v>469</v>
      </c>
      <c r="K50" s="3" t="s">
        <v>470</v>
      </c>
      <c r="L50" s="3" t="s">
        <v>462</v>
      </c>
      <c r="M50" s="3" t="s">
        <v>463</v>
      </c>
      <c r="N50" s="3" t="s">
        <v>117</v>
      </c>
      <c r="O50" s="3" t="s">
        <v>118</v>
      </c>
      <c r="P50" s="3" t="s">
        <v>129</v>
      </c>
      <c r="Q50" s="7" t="s">
        <v>471</v>
      </c>
    </row>
    <row r="51" spans="1:17" ht="100" customHeight="1">
      <c r="A51" s="3" t="s">
        <v>472</v>
      </c>
      <c r="B51" s="3" t="s">
        <v>456</v>
      </c>
      <c r="C51" s="3" t="s">
        <v>473</v>
      </c>
      <c r="D51" s="3" t="s">
        <v>474</v>
      </c>
      <c r="E51" s="3" t="s">
        <v>459</v>
      </c>
      <c r="F51" s="3" t="s">
        <v>165</v>
      </c>
      <c r="G51" s="3" t="s">
        <v>166</v>
      </c>
      <c r="H51" s="3" t="s">
        <v>111</v>
      </c>
      <c r="I51" s="3" t="s">
        <v>112</v>
      </c>
      <c r="J51" s="3" t="s">
        <v>475</v>
      </c>
      <c r="K51" s="3" t="s">
        <v>476</v>
      </c>
      <c r="L51" s="3" t="s">
        <v>462</v>
      </c>
      <c r="M51" s="3" t="s">
        <v>463</v>
      </c>
      <c r="N51" s="3" t="s">
        <v>117</v>
      </c>
      <c r="O51" s="3" t="s">
        <v>118</v>
      </c>
      <c r="P51" s="3" t="s">
        <v>129</v>
      </c>
      <c r="Q51" s="7" t="s">
        <v>477</v>
      </c>
    </row>
    <row r="52" spans="1:17" ht="100" customHeight="1">
      <c r="A52" s="3" t="s">
        <v>478</v>
      </c>
      <c r="B52" s="3" t="s">
        <v>456</v>
      </c>
      <c r="C52" s="3" t="s">
        <v>479</v>
      </c>
      <c r="D52" s="3" t="s">
        <v>480</v>
      </c>
      <c r="E52" s="3" t="s">
        <v>459</v>
      </c>
      <c r="F52" s="3" t="s">
        <v>188</v>
      </c>
      <c r="G52" s="3" t="s">
        <v>189</v>
      </c>
      <c r="H52" s="3" t="s">
        <v>111</v>
      </c>
      <c r="I52" s="3" t="s">
        <v>112</v>
      </c>
      <c r="J52" s="3" t="s">
        <v>481</v>
      </c>
      <c r="K52" s="3" t="s">
        <v>482</v>
      </c>
      <c r="L52" s="3" t="s">
        <v>462</v>
      </c>
      <c r="M52" s="3" t="s">
        <v>463</v>
      </c>
      <c r="N52" s="3" t="s">
        <v>117</v>
      </c>
      <c r="O52" s="3" t="s">
        <v>118</v>
      </c>
      <c r="P52" s="3" t="s">
        <v>129</v>
      </c>
      <c r="Q52" s="7" t="s">
        <v>483</v>
      </c>
    </row>
    <row r="53" spans="1:17" ht="100" customHeight="1">
      <c r="A53" s="3" t="s">
        <v>484</v>
      </c>
      <c r="B53" s="3" t="s">
        <v>456</v>
      </c>
      <c r="C53" s="3" t="s">
        <v>485</v>
      </c>
      <c r="D53" s="3" t="s">
        <v>486</v>
      </c>
      <c r="E53" s="3" t="s">
        <v>459</v>
      </c>
      <c r="F53" s="3" t="s">
        <v>173</v>
      </c>
      <c r="G53" s="3" t="s">
        <v>174</v>
      </c>
      <c r="H53" s="3" t="s">
        <v>111</v>
      </c>
      <c r="I53" s="3" t="s">
        <v>126</v>
      </c>
      <c r="J53" s="3" t="s">
        <v>487</v>
      </c>
      <c r="K53" s="3" t="s">
        <v>488</v>
      </c>
      <c r="L53" s="3" t="s">
        <v>462</v>
      </c>
      <c r="M53" s="3" t="s">
        <v>463</v>
      </c>
      <c r="N53" s="3" t="s">
        <v>117</v>
      </c>
      <c r="O53" s="3" t="s">
        <v>118</v>
      </c>
      <c r="P53" s="3" t="s">
        <v>177</v>
      </c>
      <c r="Q53" s="7" t="s">
        <v>489</v>
      </c>
    </row>
    <row r="54" spans="1:17" ht="100" customHeight="1">
      <c r="A54" s="3" t="s">
        <v>490</v>
      </c>
      <c r="B54" s="3" t="s">
        <v>456</v>
      </c>
      <c r="C54" s="3" t="s">
        <v>491</v>
      </c>
      <c r="D54" s="3" t="s">
        <v>492</v>
      </c>
      <c r="E54" s="3" t="s">
        <v>459</v>
      </c>
      <c r="F54" s="3" t="s">
        <v>188</v>
      </c>
      <c r="G54" s="3" t="s">
        <v>189</v>
      </c>
      <c r="H54" s="3" t="s">
        <v>111</v>
      </c>
      <c r="I54" s="3" t="s">
        <v>112</v>
      </c>
      <c r="J54" s="3" t="s">
        <v>493</v>
      </c>
      <c r="K54" s="3" t="s">
        <v>494</v>
      </c>
      <c r="L54" s="3" t="s">
        <v>462</v>
      </c>
      <c r="M54" s="3" t="s">
        <v>463</v>
      </c>
      <c r="N54" s="3" t="s">
        <v>117</v>
      </c>
      <c r="O54" s="3" t="s">
        <v>118</v>
      </c>
      <c r="P54" s="3" t="s">
        <v>129</v>
      </c>
      <c r="Q54" s="7" t="s">
        <v>495</v>
      </c>
    </row>
    <row r="55" spans="1:17" ht="100" customHeight="1">
      <c r="A55" s="3" t="s">
        <v>496</v>
      </c>
      <c r="B55" s="3" t="s">
        <v>456</v>
      </c>
      <c r="C55" s="3" t="s">
        <v>497</v>
      </c>
      <c r="D55" s="3" t="s">
        <v>498</v>
      </c>
      <c r="E55" s="3" t="s">
        <v>459</v>
      </c>
      <c r="F55" s="3" t="s">
        <v>499</v>
      </c>
      <c r="G55" s="3" t="s">
        <v>500</v>
      </c>
      <c r="H55" s="3" t="s">
        <v>111</v>
      </c>
      <c r="I55" s="3" t="s">
        <v>501</v>
      </c>
      <c r="J55" s="3" t="s">
        <v>502</v>
      </c>
      <c r="K55" s="3" t="s">
        <v>503</v>
      </c>
      <c r="L55" s="3" t="s">
        <v>462</v>
      </c>
      <c r="M55" s="3" t="s">
        <v>463</v>
      </c>
      <c r="N55" s="3" t="s">
        <v>117</v>
      </c>
      <c r="O55" s="3" t="s">
        <v>118</v>
      </c>
      <c r="P55" s="3" t="s">
        <v>504</v>
      </c>
      <c r="Q55" s="7" t="s">
        <v>505</v>
      </c>
    </row>
    <row r="56" spans="1:17" ht="100" customHeight="1">
      <c r="A56" s="3" t="s">
        <v>506</v>
      </c>
      <c r="B56" s="3" t="s">
        <v>456</v>
      </c>
      <c r="C56" s="3" t="s">
        <v>507</v>
      </c>
      <c r="D56" s="3" t="s">
        <v>508</v>
      </c>
      <c r="E56" s="3" t="s">
        <v>459</v>
      </c>
      <c r="F56" s="3" t="s">
        <v>252</v>
      </c>
      <c r="G56" s="3" t="s">
        <v>305</v>
      </c>
      <c r="H56" s="3" t="s">
        <v>111</v>
      </c>
      <c r="I56" s="3" t="s">
        <v>126</v>
      </c>
      <c r="J56" s="3" t="s">
        <v>509</v>
      </c>
      <c r="K56" s="3" t="s">
        <v>510</v>
      </c>
      <c r="L56" s="3" t="s">
        <v>462</v>
      </c>
      <c r="M56" s="3" t="s">
        <v>463</v>
      </c>
      <c r="N56" s="3" t="s">
        <v>117</v>
      </c>
      <c r="O56" s="3" t="s">
        <v>118</v>
      </c>
      <c r="P56" s="3" t="s">
        <v>129</v>
      </c>
      <c r="Q56" s="7" t="s">
        <v>511</v>
      </c>
    </row>
  </sheetData>
  <autoFilter ref="A1:Q56"/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</hyperlinks>
  <pageMargins left="0.7" right="0.7" top="0.75" bottom="0.75" header="0.3" footer="0.3"/>
  <pageSetup fitToHeight="0" orientation="landscape"/>
  <headerFooter>
    <oddFooter>&amp;LMonid finance assessment&amp;RPage &amp;P of &amp;N</oddFooter>
  </headerFooter>
  <legacyDrawing r:id="rId56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8.7109375" customWidth="1"/>
    <col min="2" max="2" width="18.7109375" customWidth="1"/>
    <col min="3" max="3" width="39.7109375" customWidth="1"/>
    <col min="4" max="4" width="44.7109375" customWidth="1"/>
    <col min="5" max="5" width="51.7109375" customWidth="1"/>
    <col min="6" max="6" width="53.7109375" customWidth="1"/>
    <col min="7" max="7" width="54.7109375" customWidth="1"/>
    <col min="8" max="8" width="40.7109375" customWidth="1"/>
    <col min="9" max="9" width="25.7109375" customWidth="1"/>
    <col min="10" max="10" width="47.7109375" customWidth="1"/>
    <col min="11" max="11" width="65.7109375" customWidth="1"/>
    <col min="12" max="13" width="43.7109375" customWidth="1"/>
    <col min="14" max="14" width="56.7109375" customWidth="1"/>
    <col min="15" max="15" width="40.7109375" customWidth="1"/>
    <col min="16" max="16" width="43.7109375" customWidth="1"/>
    <col min="17" max="17" width="48.7109375" customWidth="1"/>
  </cols>
  <sheetData>
    <row r="1" spans="1:17" ht="38" customHeight="1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</row>
    <row r="2" spans="1:17" ht="100" customHeight="1">
      <c r="A2" s="3" t="s">
        <v>512</v>
      </c>
      <c r="B2" s="3" t="s">
        <v>105</v>
      </c>
      <c r="C2" s="3" t="s">
        <v>513</v>
      </c>
      <c r="D2" s="3" t="s">
        <v>514</v>
      </c>
      <c r="E2" s="3" t="s">
        <v>108</v>
      </c>
      <c r="F2" s="3" t="s">
        <v>515</v>
      </c>
      <c r="G2" s="3" t="s">
        <v>516</v>
      </c>
      <c r="H2" s="3" t="s">
        <v>111</v>
      </c>
      <c r="I2" s="3" t="s">
        <v>126</v>
      </c>
      <c r="J2" s="3" t="s">
        <v>517</v>
      </c>
      <c r="K2" s="3" t="s">
        <v>518</v>
      </c>
      <c r="L2" s="3" t="s">
        <v>115</v>
      </c>
      <c r="M2" s="3" t="s">
        <v>116</v>
      </c>
      <c r="N2" s="3" t="s">
        <v>117</v>
      </c>
      <c r="O2" s="3" t="s">
        <v>118</v>
      </c>
      <c r="P2" s="3" t="s">
        <v>519</v>
      </c>
      <c r="Q2" s="7" t="s">
        <v>520</v>
      </c>
    </row>
    <row r="3" spans="1:17" ht="100" customHeight="1">
      <c r="A3" s="3" t="s">
        <v>521</v>
      </c>
      <c r="B3" s="3" t="s">
        <v>293</v>
      </c>
      <c r="C3" s="3" t="s">
        <v>522</v>
      </c>
      <c r="D3" s="3" t="s">
        <v>523</v>
      </c>
      <c r="E3" s="3" t="s">
        <v>296</v>
      </c>
      <c r="F3" s="3" t="s">
        <v>524</v>
      </c>
      <c r="G3" s="3" t="s">
        <v>525</v>
      </c>
      <c r="H3" s="3" t="s">
        <v>111</v>
      </c>
      <c r="I3" s="3" t="s">
        <v>112</v>
      </c>
      <c r="J3" s="3" t="s">
        <v>526</v>
      </c>
      <c r="K3" s="3" t="s">
        <v>527</v>
      </c>
      <c r="L3" s="3" t="s">
        <v>299</v>
      </c>
      <c r="M3" s="3" t="s">
        <v>300</v>
      </c>
      <c r="N3" s="3" t="s">
        <v>117</v>
      </c>
      <c r="O3" s="3" t="s">
        <v>118</v>
      </c>
      <c r="P3" s="3" t="s">
        <v>528</v>
      </c>
      <c r="Q3" s="7" t="s">
        <v>529</v>
      </c>
    </row>
    <row r="4" spans="1:17" ht="100" customHeight="1">
      <c r="A4" s="3" t="s">
        <v>530</v>
      </c>
      <c r="B4" s="3" t="s">
        <v>324</v>
      </c>
      <c r="C4" s="3" t="s">
        <v>531</v>
      </c>
      <c r="D4" s="3" t="s">
        <v>532</v>
      </c>
      <c r="E4" s="3" t="s">
        <v>327</v>
      </c>
      <c r="F4" s="3" t="s">
        <v>515</v>
      </c>
      <c r="G4" s="3" t="s">
        <v>516</v>
      </c>
      <c r="H4" s="3" t="s">
        <v>111</v>
      </c>
      <c r="I4" s="3" t="s">
        <v>126</v>
      </c>
      <c r="J4" s="3" t="s">
        <v>533</v>
      </c>
      <c r="K4" s="3" t="s">
        <v>534</v>
      </c>
      <c r="L4" s="3" t="s">
        <v>330</v>
      </c>
      <c r="M4" s="3" t="s">
        <v>331</v>
      </c>
      <c r="N4" s="3" t="s">
        <v>117</v>
      </c>
      <c r="O4" s="3" t="s">
        <v>118</v>
      </c>
      <c r="P4" s="3" t="s">
        <v>519</v>
      </c>
      <c r="Q4" s="7" t="s">
        <v>535</v>
      </c>
    </row>
    <row r="5" spans="1:17" ht="100" customHeight="1">
      <c r="A5" s="3" t="s">
        <v>536</v>
      </c>
      <c r="B5" s="3" t="s">
        <v>324</v>
      </c>
      <c r="C5" s="3" t="s">
        <v>537</v>
      </c>
      <c r="D5" s="3" t="s">
        <v>538</v>
      </c>
      <c r="E5" s="3" t="s">
        <v>327</v>
      </c>
      <c r="F5" s="3" t="s">
        <v>524</v>
      </c>
      <c r="G5" s="3" t="s">
        <v>525</v>
      </c>
      <c r="H5" s="3" t="s">
        <v>111</v>
      </c>
      <c r="I5" s="3" t="s">
        <v>112</v>
      </c>
      <c r="J5" s="3" t="s">
        <v>539</v>
      </c>
      <c r="K5" s="3" t="s">
        <v>540</v>
      </c>
      <c r="L5" s="3" t="s">
        <v>330</v>
      </c>
      <c r="M5" s="3" t="s">
        <v>331</v>
      </c>
      <c r="N5" s="3" t="s">
        <v>117</v>
      </c>
      <c r="O5" s="3" t="s">
        <v>118</v>
      </c>
      <c r="P5" s="3" t="s">
        <v>528</v>
      </c>
      <c r="Q5" s="7" t="s">
        <v>541</v>
      </c>
    </row>
    <row r="6" spans="1:17" ht="100" customHeight="1">
      <c r="A6" s="3" t="s">
        <v>542</v>
      </c>
      <c r="B6" s="3" t="s">
        <v>543</v>
      </c>
      <c r="C6" s="3" t="s">
        <v>544</v>
      </c>
      <c r="D6" s="3" t="s">
        <v>545</v>
      </c>
      <c r="E6" s="3" t="s">
        <v>546</v>
      </c>
      <c r="F6" s="3" t="s">
        <v>173</v>
      </c>
      <c r="G6" s="3" t="s">
        <v>174</v>
      </c>
      <c r="H6" s="3" t="s">
        <v>111</v>
      </c>
      <c r="I6" s="3" t="s">
        <v>126</v>
      </c>
      <c r="J6" s="3" t="s">
        <v>547</v>
      </c>
      <c r="K6" s="3" t="s">
        <v>548</v>
      </c>
      <c r="L6" s="3" t="s">
        <v>549</v>
      </c>
      <c r="M6" s="3" t="s">
        <v>550</v>
      </c>
      <c r="N6" s="3" t="s">
        <v>117</v>
      </c>
      <c r="O6" s="3" t="s">
        <v>118</v>
      </c>
      <c r="P6" s="3" t="s">
        <v>177</v>
      </c>
      <c r="Q6" s="7" t="s">
        <v>551</v>
      </c>
    </row>
    <row r="7" spans="1:17" ht="100" customHeight="1">
      <c r="A7" s="3" t="s">
        <v>552</v>
      </c>
      <c r="B7" s="3" t="s">
        <v>543</v>
      </c>
      <c r="C7" s="3" t="s">
        <v>553</v>
      </c>
      <c r="D7" s="3" t="s">
        <v>554</v>
      </c>
      <c r="E7" s="3" t="s">
        <v>546</v>
      </c>
      <c r="F7" s="3" t="s">
        <v>555</v>
      </c>
      <c r="G7" s="3" t="s">
        <v>556</v>
      </c>
      <c r="H7" s="3" t="s">
        <v>111</v>
      </c>
      <c r="I7" s="3" t="s">
        <v>112</v>
      </c>
      <c r="J7" s="3" t="s">
        <v>557</v>
      </c>
      <c r="K7" s="3" t="s">
        <v>558</v>
      </c>
      <c r="L7" s="3" t="s">
        <v>549</v>
      </c>
      <c r="M7" s="3" t="s">
        <v>550</v>
      </c>
      <c r="N7" s="3" t="s">
        <v>117</v>
      </c>
      <c r="O7" s="3" t="s">
        <v>118</v>
      </c>
      <c r="P7" s="3" t="s">
        <v>559</v>
      </c>
      <c r="Q7" s="7" t="s">
        <v>560</v>
      </c>
    </row>
    <row r="8" spans="1:17" ht="100" customHeight="1">
      <c r="A8" s="3" t="s">
        <v>561</v>
      </c>
      <c r="B8" s="3" t="s">
        <v>543</v>
      </c>
      <c r="C8" s="3" t="s">
        <v>562</v>
      </c>
      <c r="D8" s="3" t="s">
        <v>563</v>
      </c>
      <c r="E8" s="3" t="s">
        <v>546</v>
      </c>
      <c r="F8" s="3" t="s">
        <v>524</v>
      </c>
      <c r="G8" s="3" t="s">
        <v>525</v>
      </c>
      <c r="H8" s="3" t="s">
        <v>111</v>
      </c>
      <c r="I8" s="3" t="s">
        <v>112</v>
      </c>
      <c r="J8" s="3" t="s">
        <v>564</v>
      </c>
      <c r="K8" s="3" t="s">
        <v>565</v>
      </c>
      <c r="L8" s="3" t="s">
        <v>549</v>
      </c>
      <c r="M8" s="3" t="s">
        <v>550</v>
      </c>
      <c r="N8" s="3" t="s">
        <v>117</v>
      </c>
      <c r="O8" s="3" t="s">
        <v>118</v>
      </c>
      <c r="P8" s="3" t="s">
        <v>528</v>
      </c>
      <c r="Q8" s="7" t="s">
        <v>566</v>
      </c>
    </row>
    <row r="9" spans="1:17" ht="100" customHeight="1">
      <c r="A9" s="3" t="s">
        <v>567</v>
      </c>
      <c r="B9" s="3" t="s">
        <v>543</v>
      </c>
      <c r="C9" s="3" t="s">
        <v>568</v>
      </c>
      <c r="D9" s="3" t="s">
        <v>569</v>
      </c>
      <c r="E9" s="3" t="s">
        <v>546</v>
      </c>
      <c r="F9" s="3" t="s">
        <v>524</v>
      </c>
      <c r="G9" s="3" t="s">
        <v>525</v>
      </c>
      <c r="H9" s="3" t="s">
        <v>111</v>
      </c>
      <c r="I9" s="3" t="s">
        <v>112</v>
      </c>
      <c r="J9" s="3" t="s">
        <v>570</v>
      </c>
      <c r="K9" s="3" t="s">
        <v>571</v>
      </c>
      <c r="L9" s="3" t="s">
        <v>549</v>
      </c>
      <c r="M9" s="3" t="s">
        <v>550</v>
      </c>
      <c r="N9" s="3" t="s">
        <v>117</v>
      </c>
      <c r="O9" s="3" t="s">
        <v>118</v>
      </c>
      <c r="P9" s="3" t="s">
        <v>528</v>
      </c>
      <c r="Q9" s="7" t="s">
        <v>572</v>
      </c>
    </row>
    <row r="10" spans="1:17" ht="100" customHeight="1">
      <c r="A10" s="3" t="s">
        <v>573</v>
      </c>
      <c r="B10" s="3" t="s">
        <v>543</v>
      </c>
      <c r="C10" s="3" t="s">
        <v>574</v>
      </c>
      <c r="D10" s="3" t="s">
        <v>575</v>
      </c>
      <c r="E10" s="3" t="s">
        <v>546</v>
      </c>
      <c r="F10" s="3" t="s">
        <v>515</v>
      </c>
      <c r="G10" s="3" t="s">
        <v>516</v>
      </c>
      <c r="H10" s="3" t="s">
        <v>111</v>
      </c>
      <c r="I10" s="3" t="s">
        <v>126</v>
      </c>
      <c r="J10" s="3" t="s">
        <v>576</v>
      </c>
      <c r="K10" s="3" t="s">
        <v>577</v>
      </c>
      <c r="L10" s="3" t="s">
        <v>549</v>
      </c>
      <c r="M10" s="3" t="s">
        <v>550</v>
      </c>
      <c r="N10" s="3" t="s">
        <v>117</v>
      </c>
      <c r="O10" s="3" t="s">
        <v>118</v>
      </c>
      <c r="P10" s="3" t="s">
        <v>519</v>
      </c>
      <c r="Q10" s="7" t="s">
        <v>578</v>
      </c>
    </row>
    <row r="11" spans="1:17" ht="100" customHeight="1">
      <c r="A11" s="3" t="s">
        <v>579</v>
      </c>
      <c r="B11" s="3" t="s">
        <v>543</v>
      </c>
      <c r="C11" s="3" t="s">
        <v>580</v>
      </c>
      <c r="D11" s="3" t="s">
        <v>581</v>
      </c>
      <c r="E11" s="3" t="s">
        <v>546</v>
      </c>
      <c r="F11" s="3" t="s">
        <v>252</v>
      </c>
      <c r="G11" s="3" t="s">
        <v>305</v>
      </c>
      <c r="H11" s="3" t="s">
        <v>111</v>
      </c>
      <c r="I11" s="3" t="s">
        <v>126</v>
      </c>
      <c r="J11" s="3" t="s">
        <v>582</v>
      </c>
      <c r="K11" s="3" t="s">
        <v>583</v>
      </c>
      <c r="L11" s="3" t="s">
        <v>549</v>
      </c>
      <c r="M11" s="3" t="s">
        <v>550</v>
      </c>
      <c r="N11" s="3" t="s">
        <v>117</v>
      </c>
      <c r="O11" s="3" t="s">
        <v>118</v>
      </c>
      <c r="P11" s="3" t="s">
        <v>129</v>
      </c>
      <c r="Q11" s="7" t="s">
        <v>584</v>
      </c>
    </row>
    <row r="12" spans="1:17" ht="100" customHeight="1">
      <c r="A12" s="3" t="s">
        <v>585</v>
      </c>
      <c r="B12" s="3" t="s">
        <v>543</v>
      </c>
      <c r="C12" s="3" t="s">
        <v>586</v>
      </c>
      <c r="D12" s="3" t="s">
        <v>587</v>
      </c>
      <c r="E12" s="3" t="s">
        <v>546</v>
      </c>
      <c r="F12" s="3" t="s">
        <v>524</v>
      </c>
      <c r="G12" s="3" t="s">
        <v>525</v>
      </c>
      <c r="H12" s="3" t="s">
        <v>111</v>
      </c>
      <c r="I12" s="3" t="s">
        <v>112</v>
      </c>
      <c r="J12" s="3" t="s">
        <v>588</v>
      </c>
      <c r="K12" s="3" t="s">
        <v>589</v>
      </c>
      <c r="L12" s="3" t="s">
        <v>549</v>
      </c>
      <c r="M12" s="3" t="s">
        <v>550</v>
      </c>
      <c r="N12" s="3" t="s">
        <v>117</v>
      </c>
      <c r="O12" s="3" t="s">
        <v>118</v>
      </c>
      <c r="P12" s="3" t="s">
        <v>528</v>
      </c>
      <c r="Q12" s="7" t="s">
        <v>590</v>
      </c>
    </row>
    <row r="13" spans="1:17" ht="100" customHeight="1">
      <c r="A13" s="3" t="s">
        <v>591</v>
      </c>
      <c r="B13" s="3" t="s">
        <v>543</v>
      </c>
      <c r="C13" s="3" t="s">
        <v>592</v>
      </c>
      <c r="D13" s="3" t="s">
        <v>593</v>
      </c>
      <c r="E13" s="3" t="s">
        <v>546</v>
      </c>
      <c r="F13" s="3" t="s">
        <v>524</v>
      </c>
      <c r="G13" s="3" t="s">
        <v>525</v>
      </c>
      <c r="H13" s="3" t="s">
        <v>111</v>
      </c>
      <c r="I13" s="3" t="s">
        <v>112</v>
      </c>
      <c r="J13" s="3" t="s">
        <v>594</v>
      </c>
      <c r="K13" s="3" t="s">
        <v>595</v>
      </c>
      <c r="L13" s="3" t="s">
        <v>549</v>
      </c>
      <c r="M13" s="3" t="s">
        <v>550</v>
      </c>
      <c r="N13" s="3" t="s">
        <v>117</v>
      </c>
      <c r="O13" s="3" t="s">
        <v>118</v>
      </c>
      <c r="P13" s="3" t="s">
        <v>528</v>
      </c>
      <c r="Q13" s="7" t="s">
        <v>596</v>
      </c>
    </row>
    <row r="14" spans="1:17" ht="100" customHeight="1">
      <c r="A14" s="3" t="s">
        <v>597</v>
      </c>
      <c r="B14" s="3" t="s">
        <v>543</v>
      </c>
      <c r="C14" s="3" t="s">
        <v>598</v>
      </c>
      <c r="D14" s="3" t="s">
        <v>599</v>
      </c>
      <c r="E14" s="3" t="s">
        <v>546</v>
      </c>
      <c r="F14" s="3" t="s">
        <v>524</v>
      </c>
      <c r="G14" s="3" t="s">
        <v>525</v>
      </c>
      <c r="H14" s="3" t="s">
        <v>111</v>
      </c>
      <c r="I14" s="3" t="s">
        <v>112</v>
      </c>
      <c r="J14" s="3" t="s">
        <v>600</v>
      </c>
      <c r="K14" s="3" t="s">
        <v>601</v>
      </c>
      <c r="L14" s="3" t="s">
        <v>549</v>
      </c>
      <c r="M14" s="3" t="s">
        <v>550</v>
      </c>
      <c r="N14" s="3" t="s">
        <v>117</v>
      </c>
      <c r="O14" s="3" t="s">
        <v>118</v>
      </c>
      <c r="P14" s="3" t="s">
        <v>528</v>
      </c>
      <c r="Q14" s="7" t="s">
        <v>602</v>
      </c>
    </row>
    <row r="15" spans="1:17" ht="100" customHeight="1">
      <c r="A15" s="3" t="s">
        <v>603</v>
      </c>
      <c r="B15" s="3" t="s">
        <v>543</v>
      </c>
      <c r="C15" s="3" t="s">
        <v>604</v>
      </c>
      <c r="D15" s="3" t="s">
        <v>605</v>
      </c>
      <c r="E15" s="3" t="s">
        <v>546</v>
      </c>
      <c r="F15" s="3" t="s">
        <v>515</v>
      </c>
      <c r="G15" s="3" t="s">
        <v>516</v>
      </c>
      <c r="H15" s="3" t="s">
        <v>111</v>
      </c>
      <c r="I15" s="3" t="s">
        <v>152</v>
      </c>
      <c r="J15" s="3" t="s">
        <v>606</v>
      </c>
      <c r="K15" s="3" t="s">
        <v>607</v>
      </c>
      <c r="L15" s="3" t="s">
        <v>549</v>
      </c>
      <c r="M15" s="3" t="s">
        <v>550</v>
      </c>
      <c r="N15" s="3" t="s">
        <v>117</v>
      </c>
      <c r="O15" s="3" t="s">
        <v>118</v>
      </c>
      <c r="P15" s="3" t="s">
        <v>519</v>
      </c>
      <c r="Q15" s="7" t="s">
        <v>608</v>
      </c>
    </row>
    <row r="16" spans="1:17" ht="100" customHeight="1">
      <c r="A16" s="3" t="s">
        <v>609</v>
      </c>
      <c r="B16" s="3" t="s">
        <v>543</v>
      </c>
      <c r="C16" s="3" t="s">
        <v>610</v>
      </c>
      <c r="D16" s="3" t="s">
        <v>611</v>
      </c>
      <c r="E16" s="3" t="s">
        <v>546</v>
      </c>
      <c r="F16" s="3" t="s">
        <v>555</v>
      </c>
      <c r="G16" s="3" t="s">
        <v>556</v>
      </c>
      <c r="H16" s="3" t="s">
        <v>111</v>
      </c>
      <c r="I16" s="3" t="s">
        <v>112</v>
      </c>
      <c r="J16" s="3" t="s">
        <v>612</v>
      </c>
      <c r="K16" s="3" t="s">
        <v>613</v>
      </c>
      <c r="L16" s="3" t="s">
        <v>549</v>
      </c>
      <c r="M16" s="3" t="s">
        <v>550</v>
      </c>
      <c r="N16" s="3" t="s">
        <v>117</v>
      </c>
      <c r="O16" s="3" t="s">
        <v>118</v>
      </c>
      <c r="P16" s="3" t="s">
        <v>559</v>
      </c>
      <c r="Q16" s="7" t="s">
        <v>614</v>
      </c>
    </row>
  </sheetData>
  <autoFilter ref="A1:Q16"/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</hyperlinks>
  <pageMargins left="0.7" right="0.7" top="0.75" bottom="0.75" header="0.3" footer="0.3"/>
  <pageSetup fitToHeight="0" orientation="landscape"/>
  <headerFooter>
    <oddFooter>&amp;LMonid finance assessment&amp;RPage &amp;P of &amp;N</oddFooter>
  </headerFooter>
  <legacyDrawing r:id="rId16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8.7109375" customWidth="1"/>
    <col min="2" max="2" width="23.7109375" customWidth="1"/>
    <col min="3" max="3" width="9.7109375" customWidth="1"/>
    <col min="4" max="5" width="67.7109375" customWidth="1"/>
    <col min="6" max="6" width="56.7109375" customWidth="1"/>
    <col min="7" max="7" width="66.7109375" customWidth="1"/>
    <col min="8" max="8" width="72.7109375" customWidth="1"/>
    <col min="9" max="9" width="66.7109375" customWidth="1"/>
    <col min="10" max="10" width="55.7109375" customWidth="1"/>
    <col min="11" max="11" width="70.7109375" customWidth="1"/>
  </cols>
  <sheetData>
    <row r="1" spans="1:11" ht="38" customHeight="1">
      <c r="A1" s="2" t="s">
        <v>615</v>
      </c>
      <c r="B1" s="2" t="s">
        <v>88</v>
      </c>
      <c r="C1" s="2" t="s">
        <v>616</v>
      </c>
      <c r="D1" s="2" t="s">
        <v>9</v>
      </c>
      <c r="E1" s="2" t="s">
        <v>617</v>
      </c>
      <c r="F1" s="2" t="s">
        <v>618</v>
      </c>
      <c r="G1" s="2" t="s">
        <v>619</v>
      </c>
      <c r="H1" s="2" t="s">
        <v>620</v>
      </c>
      <c r="I1" s="2" t="s">
        <v>621</v>
      </c>
      <c r="J1" s="2" t="s">
        <v>622</v>
      </c>
      <c r="K1" s="2" t="s">
        <v>623</v>
      </c>
    </row>
    <row r="2" spans="1:11" ht="155" customHeight="1">
      <c r="A2" s="3" t="s">
        <v>624</v>
      </c>
      <c r="B2" s="3" t="s">
        <v>625</v>
      </c>
      <c r="C2" s="3">
        <v>20</v>
      </c>
      <c r="D2" s="3" t="s">
        <v>626</v>
      </c>
      <c r="E2" s="3" t="s">
        <v>627</v>
      </c>
      <c r="F2" s="3" t="s">
        <v>628</v>
      </c>
      <c r="G2" s="3" t="s">
        <v>629</v>
      </c>
      <c r="H2" s="3" t="s">
        <v>630</v>
      </c>
      <c r="I2" s="3" t="s">
        <v>631</v>
      </c>
      <c r="J2" s="3" t="s">
        <v>632</v>
      </c>
      <c r="K2" s="3" t="s">
        <v>633</v>
      </c>
    </row>
    <row r="3" spans="1:11" ht="155" customHeight="1">
      <c r="A3" s="3" t="s">
        <v>634</v>
      </c>
      <c r="B3" s="3" t="s">
        <v>635</v>
      </c>
      <c r="C3" s="3">
        <v>5</v>
      </c>
      <c r="D3" s="3" t="s">
        <v>636</v>
      </c>
      <c r="E3" s="3" t="s">
        <v>637</v>
      </c>
      <c r="F3" s="3" t="s">
        <v>638</v>
      </c>
      <c r="G3" s="3" t="s">
        <v>639</v>
      </c>
      <c r="H3" s="3" t="s">
        <v>640</v>
      </c>
      <c r="I3" s="3" t="s">
        <v>641</v>
      </c>
      <c r="J3" s="3" t="s">
        <v>642</v>
      </c>
      <c r="K3" s="3" t="s">
        <v>643</v>
      </c>
    </row>
    <row r="4" spans="1:11" ht="155" customHeight="1">
      <c r="A4" s="3" t="s">
        <v>644</v>
      </c>
      <c r="B4" s="3" t="s">
        <v>645</v>
      </c>
      <c r="C4" s="3">
        <v>5</v>
      </c>
      <c r="D4" s="3" t="s">
        <v>646</v>
      </c>
      <c r="E4" s="3" t="s">
        <v>647</v>
      </c>
      <c r="F4" s="3" t="s">
        <v>648</v>
      </c>
      <c r="G4" s="3" t="s">
        <v>649</v>
      </c>
      <c r="H4" s="3" t="s">
        <v>650</v>
      </c>
      <c r="I4" s="3" t="s">
        <v>651</v>
      </c>
      <c r="J4" s="3" t="s">
        <v>652</v>
      </c>
      <c r="K4" s="3" t="s">
        <v>653</v>
      </c>
    </row>
    <row r="5" spans="1:11" ht="155" customHeight="1">
      <c r="A5" s="3" t="s">
        <v>654</v>
      </c>
      <c r="B5" s="3" t="s">
        <v>655</v>
      </c>
      <c r="C5" s="3">
        <v>14</v>
      </c>
      <c r="D5" s="3" t="s">
        <v>656</v>
      </c>
      <c r="E5" s="3" t="s">
        <v>657</v>
      </c>
      <c r="F5" s="3" t="s">
        <v>658</v>
      </c>
      <c r="G5" s="3" t="s">
        <v>659</v>
      </c>
      <c r="H5" s="3" t="s">
        <v>660</v>
      </c>
      <c r="I5" s="3" t="s">
        <v>661</v>
      </c>
      <c r="J5" s="3" t="s">
        <v>662</v>
      </c>
      <c r="K5" s="3" t="s">
        <v>663</v>
      </c>
    </row>
    <row r="6" spans="1:11" ht="155" customHeight="1">
      <c r="A6" s="3" t="s">
        <v>664</v>
      </c>
      <c r="B6" s="3" t="s">
        <v>665</v>
      </c>
      <c r="C6" s="3">
        <v>7</v>
      </c>
      <c r="D6" s="3" t="s">
        <v>666</v>
      </c>
      <c r="E6" s="3" t="s">
        <v>667</v>
      </c>
      <c r="F6" s="3" t="s">
        <v>668</v>
      </c>
      <c r="G6" s="3" t="s">
        <v>669</v>
      </c>
      <c r="H6" s="3" t="s">
        <v>670</v>
      </c>
      <c r="I6" s="3" t="s">
        <v>671</v>
      </c>
      <c r="J6" s="3" t="s">
        <v>672</v>
      </c>
      <c r="K6" s="3" t="s">
        <v>673</v>
      </c>
    </row>
    <row r="7" spans="1:11" ht="155" customHeight="1">
      <c r="A7" s="3" t="s">
        <v>674</v>
      </c>
      <c r="B7" s="3" t="s">
        <v>675</v>
      </c>
      <c r="C7" s="3">
        <v>8</v>
      </c>
      <c r="D7" s="3" t="s">
        <v>676</v>
      </c>
      <c r="E7" s="3" t="s">
        <v>677</v>
      </c>
      <c r="F7" s="3" t="s">
        <v>678</v>
      </c>
      <c r="G7" s="3" t="s">
        <v>679</v>
      </c>
      <c r="H7" s="3" t="s">
        <v>680</v>
      </c>
      <c r="I7" s="3" t="s">
        <v>681</v>
      </c>
      <c r="J7" s="3" t="s">
        <v>682</v>
      </c>
      <c r="K7" s="3" t="s">
        <v>683</v>
      </c>
    </row>
    <row r="8" spans="1:11" ht="155" customHeight="1">
      <c r="A8" s="3" t="s">
        <v>684</v>
      </c>
      <c r="B8" s="3" t="s">
        <v>685</v>
      </c>
      <c r="C8" s="3">
        <v>11</v>
      </c>
      <c r="D8" s="3" t="s">
        <v>686</v>
      </c>
      <c r="E8" s="3" t="s">
        <v>687</v>
      </c>
      <c r="F8" s="3" t="s">
        <v>688</v>
      </c>
      <c r="G8" s="3" t="s">
        <v>689</v>
      </c>
      <c r="H8" s="3" t="s">
        <v>690</v>
      </c>
      <c r="I8" s="3" t="s">
        <v>691</v>
      </c>
      <c r="J8" s="3" t="s">
        <v>692</v>
      </c>
      <c r="K8" s="3" t="s">
        <v>693</v>
      </c>
    </row>
  </sheetData>
  <autoFilter ref="A1:K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</hyperlinks>
  <pageMargins left="0.7" right="0.7" top="0.75" bottom="0.75" header="0.3" footer="0.3"/>
  <pageSetup fitToHeight="0" orientation="landscape"/>
  <headerFooter>
    <oddFooter>&amp;LMonid finance assessment&amp;RPage &amp;P of &amp;N</oddFooter>
  </headerFooter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74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30" customHeight="1"/>
  <cols>
    <col min="1" max="1" width="8.7109375" customWidth="1"/>
    <col min="2" max="2" width="20.7109375" customWidth="1"/>
    <col min="3" max="3" width="39.7109375" customWidth="1"/>
    <col min="4" max="4" width="12.7109375" customWidth="1"/>
    <col min="5" max="5" width="22.7109375" customWidth="1"/>
    <col min="6" max="6" width="15.7109375" customWidth="1"/>
    <col min="7" max="7" width="13.7109375" customWidth="1"/>
    <col min="8" max="8" width="17.7109375" customWidth="1"/>
    <col min="9" max="9" width="18.7109375" customWidth="1"/>
    <col min="10" max="10" width="16.7109375" customWidth="1"/>
    <col min="11" max="11" width="20.7109375" customWidth="1"/>
    <col min="12" max="12" width="16.7109375" customWidth="1"/>
    <col min="13" max="13" width="20.7109375" customWidth="1"/>
    <col min="14" max="14" width="18.7109375" customWidth="1"/>
    <col min="15" max="15" width="19.7109375" customWidth="1"/>
    <col min="16" max="16" width="20.7109375" customWidth="1"/>
    <col min="17" max="17" width="21.7109375" customWidth="1"/>
    <col min="18" max="18" width="20.7109375" customWidth="1"/>
    <col min="19" max="20" width="21.7109375" customWidth="1"/>
    <col min="21" max="21" width="22.7109375" customWidth="1"/>
    <col min="22" max="22" width="20.7109375" customWidth="1"/>
    <col min="23" max="23" width="21.7109375" customWidth="1"/>
    <col min="24" max="24" width="68.7109375" customWidth="1"/>
    <col min="25" max="25" width="42.7109375" customWidth="1"/>
  </cols>
  <sheetData>
    <row r="1" spans="1:25" ht="38" customHeight="1">
      <c r="A1" s="2" t="s">
        <v>87</v>
      </c>
      <c r="B1" s="2" t="s">
        <v>88</v>
      </c>
      <c r="C1" s="2" t="s">
        <v>89</v>
      </c>
      <c r="D1" s="2" t="s">
        <v>1</v>
      </c>
      <c r="E1" s="2" t="s">
        <v>694</v>
      </c>
      <c r="F1" s="2" t="s">
        <v>695</v>
      </c>
      <c r="G1" s="2" t="s">
        <v>696</v>
      </c>
      <c r="H1" s="2" t="s">
        <v>697</v>
      </c>
      <c r="I1" s="2" t="s">
        <v>698</v>
      </c>
      <c r="J1" s="2" t="s">
        <v>699</v>
      </c>
      <c r="K1" s="2" t="s">
        <v>700</v>
      </c>
      <c r="L1" s="2" t="s">
        <v>701</v>
      </c>
      <c r="M1" s="2" t="s">
        <v>61</v>
      </c>
      <c r="N1" s="2" t="s">
        <v>702</v>
      </c>
      <c r="O1" s="2" t="s">
        <v>703</v>
      </c>
      <c r="P1" s="2" t="s">
        <v>704</v>
      </c>
      <c r="Q1" s="2" t="s">
        <v>705</v>
      </c>
      <c r="R1" s="2" t="s">
        <v>706</v>
      </c>
      <c r="S1" s="2" t="s">
        <v>707</v>
      </c>
      <c r="T1" s="2" t="s">
        <v>708</v>
      </c>
      <c r="U1" s="2" t="s">
        <v>709</v>
      </c>
      <c r="V1" s="2" t="s">
        <v>710</v>
      </c>
      <c r="W1" s="2" t="s">
        <v>711</v>
      </c>
      <c r="X1" s="2" t="s">
        <v>712</v>
      </c>
      <c r="Y1" s="2" t="s">
        <v>713</v>
      </c>
    </row>
    <row r="2" spans="1:25" ht="62" customHeight="1">
      <c r="A2" s="3" t="s">
        <v>104</v>
      </c>
      <c r="B2" s="3" t="s">
        <v>105</v>
      </c>
      <c r="C2" s="3" t="s">
        <v>106</v>
      </c>
      <c r="D2" s="3" t="s">
        <v>64</v>
      </c>
      <c r="E2" s="3" t="s">
        <v>74</v>
      </c>
      <c r="F2" s="8">
        <v>0.01</v>
      </c>
      <c r="G2" s="9">
        <v>0</v>
      </c>
      <c r="H2" s="9">
        <v>0</v>
      </c>
      <c r="I2" s="9">
        <v>0</v>
      </c>
      <c r="J2" s="9">
        <v>1</v>
      </c>
      <c r="K2" s="9">
        <v>1</v>
      </c>
      <c r="L2" s="5">
        <v>0</v>
      </c>
      <c r="M2" s="6">
        <f>Profiles!D7</f>
        <v>30</v>
      </c>
      <c r="N2" s="10">
        <f>IF(H2&gt;0,H2,IF(D2="entity",MAX(Assumptions!$B$7,ROUNDUP(Assumptions!$B$2*Assumptions!$B$7*Assumptions!$B$8,0)),1))</f>
        <v>100</v>
      </c>
      <c r="O2" s="10">
        <f>IF(I2&gt;0,I2,IF(D2="entity",MAX(Assumptions!$B$7,ROUNDUP(Assumptions!$B$3*Assumptions!$B$7*Assumptions!$B$8,0)),1))</f>
        <v>1000</v>
      </c>
      <c r="P2" s="6">
        <f>ROUNDUP(Assumptions!$B$2*Assumptions!$B$4*Assumptions!$B$5/J2,0)*K2*(1+L2)</f>
        <v>1100</v>
      </c>
      <c r="Q2" s="6">
        <f>ROUNDUP(Assumptions!$B$3*Assumptions!$B$4*Assumptions!$B$5/J2,0)*K2*(1+L2)</f>
        <v>11000</v>
      </c>
      <c r="R2" s="11">
        <f>P2*F2</f>
        <v>11.0</v>
      </c>
      <c r="S2" s="11">
        <f>Q2*F2</f>
        <v>110.0</v>
      </c>
      <c r="T2" s="6">
        <f>IF(D2="demand",P2*Assumptions!$B$17,ROUNDUP(N2/J2,0)*M2*K2*(1+L2))</f>
        <v>3000</v>
      </c>
      <c r="U2" s="6">
        <f>IF(D2="demand",Q2*Assumptions!$B$17,ROUNDUP(O2/J2,0)*M2*K2*(1+L2))</f>
        <v>30000</v>
      </c>
      <c r="V2" s="11">
        <f>T2*F2</f>
        <v>30.0</v>
      </c>
      <c r="W2" s="11">
        <f>U2*F2</f>
        <v>300.0</v>
      </c>
      <c r="X2" s="3" t="s">
        <v>714</v>
      </c>
      <c r="Y2" s="7" t="s">
        <v>715</v>
      </c>
    </row>
    <row r="3" spans="1:25" ht="62" customHeight="1">
      <c r="A3" s="3" t="s">
        <v>121</v>
      </c>
      <c r="B3" s="3" t="s">
        <v>105</v>
      </c>
      <c r="C3" s="3" t="s">
        <v>122</v>
      </c>
      <c r="D3" s="3" t="s">
        <v>67</v>
      </c>
      <c r="E3" s="3" t="s">
        <v>65</v>
      </c>
      <c r="F3" s="8">
        <v>0.01</v>
      </c>
      <c r="G3" s="9">
        <v>0</v>
      </c>
      <c r="H3" s="9">
        <v>0</v>
      </c>
      <c r="I3" s="9">
        <v>0</v>
      </c>
      <c r="J3" s="9">
        <v>1</v>
      </c>
      <c r="K3" s="9">
        <v>1</v>
      </c>
      <c r="L3" s="5">
        <v>0</v>
      </c>
      <c r="M3" s="6">
        <f>Profiles!D3</f>
        <v>1716</v>
      </c>
      <c r="N3" s="10">
        <f>IF(H3&gt;0,H3,IF(D3="entity",MAX(Assumptions!$B$7,ROUNDUP(Assumptions!$B$2*Assumptions!$B$7*Assumptions!$B$8,0)),1))</f>
        <v>1</v>
      </c>
      <c r="O3" s="10">
        <f>IF(I3&gt;0,I3,IF(D3="entity",MAX(Assumptions!$B$7,ROUNDUP(Assumptions!$B$3*Assumptions!$B$7*Assumptions!$B$8,0)),1))</f>
        <v>1</v>
      </c>
      <c r="P3" s="6">
        <f>ROUNDUP(Assumptions!$B$2*Assumptions!$B$4*Assumptions!$B$5/J3,0)*K3*(1+L3)</f>
        <v>1100</v>
      </c>
      <c r="Q3" s="6">
        <f>ROUNDUP(Assumptions!$B$3*Assumptions!$B$4*Assumptions!$B$5/J3,0)*K3*(1+L3)</f>
        <v>11000</v>
      </c>
      <c r="R3" s="11">
        <f>P3*F3</f>
        <v>11.0</v>
      </c>
      <c r="S3" s="11">
        <f>Q3*F3</f>
        <v>110.0</v>
      </c>
      <c r="T3" s="6">
        <f>IF(D3="demand",P3*Assumptions!$B$17,ROUNDUP(N3/J3,0)*M3*K3*(1+L3))</f>
        <v>1716</v>
      </c>
      <c r="U3" s="6">
        <f>IF(D3="demand",Q3*Assumptions!$B$17,ROUNDUP(O3/J3,0)*M3*K3*(1+L3))</f>
        <v>1716</v>
      </c>
      <c r="V3" s="11">
        <f>T3*F3</f>
        <v>17.16</v>
      </c>
      <c r="W3" s="11">
        <f>U3*F3</f>
        <v>17.16</v>
      </c>
      <c r="X3" s="3" t="s">
        <v>714</v>
      </c>
      <c r="Y3" s="7" t="s">
        <v>715</v>
      </c>
    </row>
    <row r="4" spans="1:25" ht="62" customHeight="1">
      <c r="A4" s="3" t="s">
        <v>131</v>
      </c>
      <c r="B4" s="3" t="s">
        <v>105</v>
      </c>
      <c r="C4" s="3" t="s">
        <v>132</v>
      </c>
      <c r="D4" s="3" t="s">
        <v>67</v>
      </c>
      <c r="E4" s="3" t="s">
        <v>76</v>
      </c>
      <c r="F4" s="8">
        <v>0.01</v>
      </c>
      <c r="G4" s="9">
        <v>0</v>
      </c>
      <c r="H4" s="9">
        <v>0</v>
      </c>
      <c r="I4" s="9">
        <v>0</v>
      </c>
      <c r="J4" s="9">
        <v>1</v>
      </c>
      <c r="K4" s="9">
        <v>1</v>
      </c>
      <c r="L4" s="5">
        <v>0</v>
      </c>
      <c r="M4" s="6">
        <f>Profiles!D8</f>
        <v>30</v>
      </c>
      <c r="N4" s="10">
        <f>IF(H4&gt;0,H4,IF(D4="entity",MAX(Assumptions!$B$7,ROUNDUP(Assumptions!$B$2*Assumptions!$B$7*Assumptions!$B$8,0)),1))</f>
        <v>1</v>
      </c>
      <c r="O4" s="10">
        <f>IF(I4&gt;0,I4,IF(D4="entity",MAX(Assumptions!$B$7,ROUNDUP(Assumptions!$B$3*Assumptions!$B$7*Assumptions!$B$8,0)),1))</f>
        <v>1</v>
      </c>
      <c r="P4" s="6">
        <f>ROUNDUP(Assumptions!$B$2*Assumptions!$B$4*Assumptions!$B$5/J4,0)*K4*(1+L4)</f>
        <v>1100</v>
      </c>
      <c r="Q4" s="6">
        <f>ROUNDUP(Assumptions!$B$3*Assumptions!$B$4*Assumptions!$B$5/J4,0)*K4*(1+L4)</f>
        <v>11000</v>
      </c>
      <c r="R4" s="11">
        <f>P4*F4</f>
        <v>11.0</v>
      </c>
      <c r="S4" s="11">
        <f>Q4*F4</f>
        <v>110.0</v>
      </c>
      <c r="T4" s="6">
        <f>IF(D4="demand",P4*Assumptions!$B$17,ROUNDUP(N4/J4,0)*M4*K4*(1+L4))</f>
        <v>30</v>
      </c>
      <c r="U4" s="6">
        <f>IF(D4="demand",Q4*Assumptions!$B$17,ROUNDUP(O4/J4,0)*M4*K4*(1+L4))</f>
        <v>30</v>
      </c>
      <c r="V4" s="11">
        <f>T4*F4</f>
        <v>0.3</v>
      </c>
      <c r="W4" s="11">
        <f>U4*F4</f>
        <v>0.3</v>
      </c>
      <c r="X4" s="3" t="s">
        <v>714</v>
      </c>
      <c r="Y4" s="7" t="s">
        <v>715</v>
      </c>
    </row>
    <row r="5" spans="1:25" ht="62" customHeight="1">
      <c r="A5" s="3" t="s">
        <v>139</v>
      </c>
      <c r="B5" s="3" t="s">
        <v>105</v>
      </c>
      <c r="C5" s="3" t="s">
        <v>140</v>
      </c>
      <c r="D5" s="3" t="s">
        <v>64</v>
      </c>
      <c r="E5" s="3" t="s">
        <v>70</v>
      </c>
      <c r="F5" s="8">
        <v>0.01</v>
      </c>
      <c r="G5" s="9">
        <v>0</v>
      </c>
      <c r="H5" s="9">
        <v>0</v>
      </c>
      <c r="I5" s="9">
        <v>0</v>
      </c>
      <c r="J5" s="9">
        <v>1</v>
      </c>
      <c r="K5" s="9">
        <v>1</v>
      </c>
      <c r="L5" s="5">
        <v>0</v>
      </c>
      <c r="M5" s="6">
        <f>Profiles!D5</f>
        <v>352</v>
      </c>
      <c r="N5" s="10">
        <f>IF(H5&gt;0,H5,IF(D5="entity",MAX(Assumptions!$B$7,ROUNDUP(Assumptions!$B$2*Assumptions!$B$7*Assumptions!$B$8,0)),1))</f>
        <v>100</v>
      </c>
      <c r="O5" s="10">
        <f>IF(I5&gt;0,I5,IF(D5="entity",MAX(Assumptions!$B$7,ROUNDUP(Assumptions!$B$3*Assumptions!$B$7*Assumptions!$B$8,0)),1))</f>
        <v>1000</v>
      </c>
      <c r="P5" s="6">
        <f>ROUNDUP(Assumptions!$B$2*Assumptions!$B$4*Assumptions!$B$5/J5,0)*K5*(1+L5)</f>
        <v>1100</v>
      </c>
      <c r="Q5" s="6">
        <f>ROUNDUP(Assumptions!$B$3*Assumptions!$B$4*Assumptions!$B$5/J5,0)*K5*(1+L5)</f>
        <v>11000</v>
      </c>
      <c r="R5" s="11">
        <f>P5*F5</f>
        <v>11.0</v>
      </c>
      <c r="S5" s="11">
        <f>Q5*F5</f>
        <v>110.0</v>
      </c>
      <c r="T5" s="6">
        <f>IF(D5="demand",P5*Assumptions!$B$17,ROUNDUP(N5/J5,0)*M5*K5*(1+L5))</f>
        <v>35200</v>
      </c>
      <c r="U5" s="6">
        <f>IF(D5="demand",Q5*Assumptions!$B$17,ROUNDUP(O5/J5,0)*M5*K5*(1+L5))</f>
        <v>352000</v>
      </c>
      <c r="V5" s="11">
        <f>T5*F5</f>
        <v>352.0</v>
      </c>
      <c r="W5" s="11">
        <f>U5*F5</f>
        <v>3520.0</v>
      </c>
      <c r="X5" s="3" t="s">
        <v>714</v>
      </c>
      <c r="Y5" s="7" t="s">
        <v>715</v>
      </c>
    </row>
    <row r="6" spans="1:25" ht="62" customHeight="1">
      <c r="A6" s="3" t="s">
        <v>147</v>
      </c>
      <c r="B6" s="3" t="s">
        <v>105</v>
      </c>
      <c r="C6" s="3" t="s">
        <v>148</v>
      </c>
      <c r="D6" s="3" t="s">
        <v>64</v>
      </c>
      <c r="E6" s="3" t="s">
        <v>74</v>
      </c>
      <c r="F6" s="8">
        <v>0.01</v>
      </c>
      <c r="G6" s="9">
        <v>0</v>
      </c>
      <c r="H6" s="9">
        <v>5</v>
      </c>
      <c r="I6" s="9">
        <v>5</v>
      </c>
      <c r="J6" s="9">
        <v>1</v>
      </c>
      <c r="K6" s="9">
        <v>1</v>
      </c>
      <c r="L6" s="5">
        <v>0</v>
      </c>
      <c r="M6" s="6">
        <f>Profiles!D7</f>
        <v>30</v>
      </c>
      <c r="N6" s="10">
        <f>IF(H6&gt;0,H6,IF(D6="entity",MAX(Assumptions!$B$7,ROUNDUP(Assumptions!$B$2*Assumptions!$B$7*Assumptions!$B$8,0)),1))</f>
        <v>5</v>
      </c>
      <c r="O6" s="10">
        <f>IF(I6&gt;0,I6,IF(D6="entity",MAX(Assumptions!$B$7,ROUNDUP(Assumptions!$B$3*Assumptions!$B$7*Assumptions!$B$8,0)),1))</f>
        <v>5</v>
      </c>
      <c r="P6" s="6">
        <f>ROUNDUP(Assumptions!$B$2*Assumptions!$B$4*Assumptions!$B$5/J6,0)*K6*(1+L6)</f>
        <v>1100</v>
      </c>
      <c r="Q6" s="6">
        <f>ROUNDUP(Assumptions!$B$3*Assumptions!$B$4*Assumptions!$B$5/J6,0)*K6*(1+L6)</f>
        <v>11000</v>
      </c>
      <c r="R6" s="11">
        <f>P6*F6</f>
        <v>11.0</v>
      </c>
      <c r="S6" s="11">
        <f>Q6*F6</f>
        <v>110.0</v>
      </c>
      <c r="T6" s="6">
        <f>IF(D6="demand",P6*Assumptions!$B$17,ROUNDUP(N6/J6,0)*M6*K6*(1+L6))</f>
        <v>150</v>
      </c>
      <c r="U6" s="6">
        <f>IF(D6="demand",Q6*Assumptions!$B$17,ROUNDUP(O6/J6,0)*M6*K6*(1+L6))</f>
        <v>150</v>
      </c>
      <c r="V6" s="11">
        <f>T6*F6</f>
        <v>1.5</v>
      </c>
      <c r="W6" s="11">
        <f>U6*F6</f>
        <v>1.5</v>
      </c>
      <c r="X6" s="3" t="s">
        <v>716</v>
      </c>
      <c r="Y6" s="7" t="s">
        <v>715</v>
      </c>
    </row>
    <row r="7" spans="1:25" ht="62" customHeight="1">
      <c r="A7" s="3" t="s">
        <v>156</v>
      </c>
      <c r="B7" s="3" t="s">
        <v>105</v>
      </c>
      <c r="C7" s="3" t="s">
        <v>157</v>
      </c>
      <c r="D7" s="3" t="s">
        <v>64</v>
      </c>
      <c r="E7" s="3" t="s">
        <v>74</v>
      </c>
      <c r="F7" s="8">
        <v>0.01</v>
      </c>
      <c r="G7" s="9">
        <v>0</v>
      </c>
      <c r="H7" s="9">
        <v>0</v>
      </c>
      <c r="I7" s="9">
        <v>0</v>
      </c>
      <c r="J7" s="9">
        <v>1</v>
      </c>
      <c r="K7" s="9">
        <v>1</v>
      </c>
      <c r="L7" s="5">
        <v>0</v>
      </c>
      <c r="M7" s="6">
        <f>Profiles!D7</f>
        <v>30</v>
      </c>
      <c r="N7" s="10">
        <f>IF(H7&gt;0,H7,IF(D7="entity",MAX(Assumptions!$B$7,ROUNDUP(Assumptions!$B$2*Assumptions!$B$7*Assumptions!$B$8,0)),1))</f>
        <v>100</v>
      </c>
      <c r="O7" s="10">
        <f>IF(I7&gt;0,I7,IF(D7="entity",MAX(Assumptions!$B$7,ROUNDUP(Assumptions!$B$3*Assumptions!$B$7*Assumptions!$B$8,0)),1))</f>
        <v>1000</v>
      </c>
      <c r="P7" s="6">
        <f>ROUNDUP(Assumptions!$B$2*Assumptions!$B$4*Assumptions!$B$5/J7,0)*K7*(1+L7)</f>
        <v>1100</v>
      </c>
      <c r="Q7" s="6">
        <f>ROUNDUP(Assumptions!$B$3*Assumptions!$B$4*Assumptions!$B$5/J7,0)*K7*(1+L7)</f>
        <v>11000</v>
      </c>
      <c r="R7" s="11">
        <f>P7*F7</f>
        <v>11.0</v>
      </c>
      <c r="S7" s="11">
        <f>Q7*F7</f>
        <v>110.0</v>
      </c>
      <c r="T7" s="6">
        <f>IF(D7="demand",P7*Assumptions!$B$17,ROUNDUP(N7/J7,0)*M7*K7*(1+L7))</f>
        <v>3000</v>
      </c>
      <c r="U7" s="6">
        <f>IF(D7="demand",Q7*Assumptions!$B$17,ROUNDUP(O7/J7,0)*M7*K7*(1+L7))</f>
        <v>30000</v>
      </c>
      <c r="V7" s="11">
        <f>T7*F7</f>
        <v>30.0</v>
      </c>
      <c r="W7" s="11">
        <f>U7*F7</f>
        <v>300.0</v>
      </c>
      <c r="X7" s="3" t="s">
        <v>714</v>
      </c>
      <c r="Y7" s="7" t="s">
        <v>715</v>
      </c>
    </row>
    <row r="8" spans="1:25" ht="62" customHeight="1">
      <c r="A8" s="3" t="s">
        <v>162</v>
      </c>
      <c r="B8" s="3" t="s">
        <v>105</v>
      </c>
      <c r="C8" s="3" t="s">
        <v>163</v>
      </c>
      <c r="D8" s="3" t="s">
        <v>64</v>
      </c>
      <c r="E8" s="3" t="s">
        <v>62</v>
      </c>
      <c r="F8" s="8">
        <v>0.01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5">
        <v>0</v>
      </c>
      <c r="M8" s="6">
        <f>Profiles!D2</f>
        <v>1716</v>
      </c>
      <c r="N8" s="10">
        <f>IF(H8&gt;0,H8,IF(D8="entity",MAX(Assumptions!$B$7,ROUNDUP(Assumptions!$B$2*Assumptions!$B$7*Assumptions!$B$8,0)),1))</f>
        <v>100</v>
      </c>
      <c r="O8" s="10">
        <f>IF(I8&gt;0,I8,IF(D8="entity",MAX(Assumptions!$B$7,ROUNDUP(Assumptions!$B$3*Assumptions!$B$7*Assumptions!$B$8,0)),1))</f>
        <v>1000</v>
      </c>
      <c r="P8" s="6">
        <f>ROUNDUP(Assumptions!$B$2*Assumptions!$B$4*Assumptions!$B$5/J8,0)*K8*(1+L8)</f>
        <v>1100</v>
      </c>
      <c r="Q8" s="6">
        <f>ROUNDUP(Assumptions!$B$3*Assumptions!$B$4*Assumptions!$B$5/J8,0)*K8*(1+L8)</f>
        <v>11000</v>
      </c>
      <c r="R8" s="11">
        <f>P8*F8</f>
        <v>11.0</v>
      </c>
      <c r="S8" s="11">
        <f>Q8*F8</f>
        <v>110.0</v>
      </c>
      <c r="T8" s="6">
        <f>IF(D8="demand",P8*Assumptions!$B$17,ROUNDUP(N8/J8,0)*M8*K8*(1+L8))</f>
        <v>171600</v>
      </c>
      <c r="U8" s="6">
        <f>IF(D8="demand",Q8*Assumptions!$B$17,ROUNDUP(O8/J8,0)*M8*K8*(1+L8))</f>
        <v>1716000</v>
      </c>
      <c r="V8" s="11">
        <f>T8*F8</f>
        <v>1716.0</v>
      </c>
      <c r="W8" s="11">
        <f>U8*F8</f>
        <v>17160.0</v>
      </c>
      <c r="X8" s="3" t="s">
        <v>714</v>
      </c>
      <c r="Y8" s="7" t="s">
        <v>715</v>
      </c>
    </row>
    <row r="9" spans="1:25" ht="62" customHeight="1">
      <c r="A9" s="3" t="s">
        <v>170</v>
      </c>
      <c r="B9" s="3" t="s">
        <v>105</v>
      </c>
      <c r="C9" s="3" t="s">
        <v>171</v>
      </c>
      <c r="D9" s="3" t="s">
        <v>80</v>
      </c>
      <c r="E9" s="3" t="s">
        <v>78</v>
      </c>
      <c r="F9" s="8">
        <v>0.01</v>
      </c>
      <c r="G9" s="9">
        <v>0</v>
      </c>
      <c r="H9" s="9">
        <v>0</v>
      </c>
      <c r="I9" s="9">
        <v>0</v>
      </c>
      <c r="J9" s="9">
        <v>1</v>
      </c>
      <c r="K9" s="9">
        <v>1</v>
      </c>
      <c r="L9" s="5">
        <v>0</v>
      </c>
      <c r="M9" s="6">
        <f>Profiles!D9</f>
        <v>0</v>
      </c>
      <c r="N9" s="10">
        <f>IF(H9&gt;0,H9,IF(D9="entity",MAX(Assumptions!$B$7,ROUNDUP(Assumptions!$B$2*Assumptions!$B$7*Assumptions!$B$8,0)),1))</f>
        <v>1</v>
      </c>
      <c r="O9" s="10">
        <f>IF(I9&gt;0,I9,IF(D9="entity",MAX(Assumptions!$B$7,ROUNDUP(Assumptions!$B$3*Assumptions!$B$7*Assumptions!$B$8,0)),1))</f>
        <v>1</v>
      </c>
      <c r="P9" s="6">
        <f>ROUNDUP(Assumptions!$B$2*Assumptions!$B$4*Assumptions!$B$5/J9,0)*K9*(1+L9)</f>
        <v>1100</v>
      </c>
      <c r="Q9" s="6">
        <f>ROUNDUP(Assumptions!$B$3*Assumptions!$B$4*Assumptions!$B$5/J9,0)*K9*(1+L9)</f>
        <v>11000</v>
      </c>
      <c r="R9" s="11">
        <f>P9*F9</f>
        <v>11.0</v>
      </c>
      <c r="S9" s="11">
        <f>Q9*F9</f>
        <v>110.0</v>
      </c>
      <c r="T9" s="6">
        <f>IF(D9="demand",P9*Assumptions!$B$17,ROUNDUP(N9/J9,0)*M9*K9*(1+L9))</f>
        <v>550.0</v>
      </c>
      <c r="U9" s="6">
        <f>IF(D9="demand",Q9*Assumptions!$B$17,ROUNDUP(O9/J9,0)*M9*K9*(1+L9))</f>
        <v>5500.0</v>
      </c>
      <c r="V9" s="11">
        <f>T9*F9</f>
        <v>5.5</v>
      </c>
      <c r="W9" s="11">
        <f>U9*F9</f>
        <v>55.0</v>
      </c>
      <c r="X9" s="3" t="s">
        <v>714</v>
      </c>
      <c r="Y9" s="7" t="s">
        <v>715</v>
      </c>
    </row>
    <row r="10" spans="1:25" ht="62" customHeight="1">
      <c r="A10" s="3" t="s">
        <v>179</v>
      </c>
      <c r="B10" s="3" t="s">
        <v>105</v>
      </c>
      <c r="C10" s="3" t="s">
        <v>180</v>
      </c>
      <c r="D10" s="3" t="s">
        <v>67</v>
      </c>
      <c r="E10" s="3" t="s">
        <v>65</v>
      </c>
      <c r="F10" s="8">
        <v>0.01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5">
        <v>0</v>
      </c>
      <c r="M10" s="6">
        <f>Profiles!D3</f>
        <v>1716</v>
      </c>
      <c r="N10" s="10">
        <f>IF(H10&gt;0,H10,IF(D10="entity",MAX(Assumptions!$B$7,ROUNDUP(Assumptions!$B$2*Assumptions!$B$7*Assumptions!$B$8,0)),1))</f>
        <v>1</v>
      </c>
      <c r="O10" s="10">
        <f>IF(I10&gt;0,I10,IF(D10="entity",MAX(Assumptions!$B$7,ROUNDUP(Assumptions!$B$3*Assumptions!$B$7*Assumptions!$B$8,0)),1))</f>
        <v>1</v>
      </c>
      <c r="P10" s="6">
        <f>ROUNDUP(Assumptions!$B$2*Assumptions!$B$4*Assumptions!$B$5/J10,0)*K10*(1+L10)</f>
        <v>1100</v>
      </c>
      <c r="Q10" s="6">
        <f>ROUNDUP(Assumptions!$B$3*Assumptions!$B$4*Assumptions!$B$5/J10,0)*K10*(1+L10)</f>
        <v>11000</v>
      </c>
      <c r="R10" s="11">
        <f>P10*F10</f>
        <v>11.0</v>
      </c>
      <c r="S10" s="11">
        <f>Q10*F10</f>
        <v>110.0</v>
      </c>
      <c r="T10" s="6">
        <f>IF(D10="demand",P10*Assumptions!$B$17,ROUNDUP(N10/J10,0)*M10*K10*(1+L10))</f>
        <v>1716</v>
      </c>
      <c r="U10" s="6">
        <f>IF(D10="demand",Q10*Assumptions!$B$17,ROUNDUP(O10/J10,0)*M10*K10*(1+L10))</f>
        <v>1716</v>
      </c>
      <c r="V10" s="11">
        <f>T10*F10</f>
        <v>17.16</v>
      </c>
      <c r="W10" s="11">
        <f>U10*F10</f>
        <v>17.16</v>
      </c>
      <c r="X10" s="3" t="s">
        <v>714</v>
      </c>
      <c r="Y10" s="7" t="s">
        <v>715</v>
      </c>
    </row>
    <row r="11" spans="1:25" ht="62" customHeight="1">
      <c r="A11" s="3" t="s">
        <v>185</v>
      </c>
      <c r="B11" s="3" t="s">
        <v>105</v>
      </c>
      <c r="C11" s="3" t="s">
        <v>186</v>
      </c>
      <c r="D11" s="3" t="s">
        <v>64</v>
      </c>
      <c r="E11" s="3" t="s">
        <v>74</v>
      </c>
      <c r="F11" s="8">
        <v>0.01</v>
      </c>
      <c r="G11" s="9">
        <v>0</v>
      </c>
      <c r="H11" s="9">
        <v>0</v>
      </c>
      <c r="I11" s="9">
        <v>0</v>
      </c>
      <c r="J11" s="9">
        <v>1</v>
      </c>
      <c r="K11" s="9">
        <v>1</v>
      </c>
      <c r="L11" s="5">
        <v>0</v>
      </c>
      <c r="M11" s="6">
        <f>Profiles!D7</f>
        <v>30</v>
      </c>
      <c r="N11" s="10">
        <f>IF(H11&gt;0,H11,IF(D11="entity",MAX(Assumptions!$B$7,ROUNDUP(Assumptions!$B$2*Assumptions!$B$7*Assumptions!$B$8,0)),1))</f>
        <v>100</v>
      </c>
      <c r="O11" s="10">
        <f>IF(I11&gt;0,I11,IF(D11="entity",MAX(Assumptions!$B$7,ROUNDUP(Assumptions!$B$3*Assumptions!$B$7*Assumptions!$B$8,0)),1))</f>
        <v>1000</v>
      </c>
      <c r="P11" s="6">
        <f>ROUNDUP(Assumptions!$B$2*Assumptions!$B$4*Assumptions!$B$5/J11,0)*K11*(1+L11)</f>
        <v>1100</v>
      </c>
      <c r="Q11" s="6">
        <f>ROUNDUP(Assumptions!$B$3*Assumptions!$B$4*Assumptions!$B$5/J11,0)*K11*(1+L11)</f>
        <v>11000</v>
      </c>
      <c r="R11" s="11">
        <f>P11*F11</f>
        <v>11.0</v>
      </c>
      <c r="S11" s="11">
        <f>Q11*F11</f>
        <v>110.0</v>
      </c>
      <c r="T11" s="6">
        <f>IF(D11="demand",P11*Assumptions!$B$17,ROUNDUP(N11/J11,0)*M11*K11*(1+L11))</f>
        <v>3000</v>
      </c>
      <c r="U11" s="6">
        <f>IF(D11="demand",Q11*Assumptions!$B$17,ROUNDUP(O11/J11,0)*M11*K11*(1+L11))</f>
        <v>30000</v>
      </c>
      <c r="V11" s="11">
        <f>T11*F11</f>
        <v>30.0</v>
      </c>
      <c r="W11" s="11">
        <f>U11*F11</f>
        <v>300.0</v>
      </c>
      <c r="X11" s="3" t="s">
        <v>714</v>
      </c>
      <c r="Y11" s="7" t="s">
        <v>715</v>
      </c>
    </row>
    <row r="12" spans="1:25" ht="62" customHeight="1">
      <c r="A12" s="3" t="s">
        <v>512</v>
      </c>
      <c r="B12" s="3" t="s">
        <v>105</v>
      </c>
      <c r="C12" s="3" t="s">
        <v>513</v>
      </c>
      <c r="D12" s="3" t="s">
        <v>64</v>
      </c>
      <c r="E12" s="3" t="s">
        <v>74</v>
      </c>
      <c r="F12" s="8">
        <v>0.01</v>
      </c>
      <c r="G12" s="9">
        <v>0</v>
      </c>
      <c r="H12" s="9">
        <v>0</v>
      </c>
      <c r="I12" s="9">
        <v>0</v>
      </c>
      <c r="J12" s="9">
        <v>1</v>
      </c>
      <c r="K12" s="9">
        <v>1</v>
      </c>
      <c r="L12" s="5">
        <v>0</v>
      </c>
      <c r="M12" s="6">
        <f>Profiles!D7</f>
        <v>30</v>
      </c>
      <c r="N12" s="10">
        <f>IF(H12&gt;0,H12,IF(D12="entity",MAX(Assumptions!$B$7,ROUNDUP(Assumptions!$B$2*Assumptions!$B$7*Assumptions!$B$8,0)),1))</f>
        <v>100</v>
      </c>
      <c r="O12" s="10">
        <f>IF(I12&gt;0,I12,IF(D12="entity",MAX(Assumptions!$B$7,ROUNDUP(Assumptions!$B$3*Assumptions!$B$7*Assumptions!$B$8,0)),1))</f>
        <v>1000</v>
      </c>
      <c r="P12" s="6">
        <f>ROUNDUP(Assumptions!$B$2*Assumptions!$B$4*Assumptions!$B$5/J12,0)*K12*(1+L12)</f>
        <v>1100</v>
      </c>
      <c r="Q12" s="6">
        <f>ROUNDUP(Assumptions!$B$3*Assumptions!$B$4*Assumptions!$B$5/J12,0)*K12*(1+L12)</f>
        <v>11000</v>
      </c>
      <c r="R12" s="11">
        <f>P12*F12</f>
        <v>11.0</v>
      </c>
      <c r="S12" s="11">
        <f>Q12*F12</f>
        <v>110.0</v>
      </c>
      <c r="T12" s="6">
        <f>IF(D12="demand",P12*Assumptions!$B$17,ROUNDUP(N12/J12,0)*M12*K12*(1+L12))</f>
        <v>3000</v>
      </c>
      <c r="U12" s="6">
        <f>IF(D12="demand",Q12*Assumptions!$B$17,ROUNDUP(O12/J12,0)*M12*K12*(1+L12))</f>
        <v>30000</v>
      </c>
      <c r="V12" s="11">
        <f>T12*F12</f>
        <v>30.0</v>
      </c>
      <c r="W12" s="11">
        <f>U12*F12</f>
        <v>300.0</v>
      </c>
      <c r="X12" s="3" t="s">
        <v>714</v>
      </c>
      <c r="Y12" s="7" t="s">
        <v>715</v>
      </c>
    </row>
    <row r="13" spans="1:25" ht="62" customHeight="1">
      <c r="A13" s="3" t="s">
        <v>193</v>
      </c>
      <c r="B13" s="3" t="s">
        <v>105</v>
      </c>
      <c r="C13" s="3" t="s">
        <v>194</v>
      </c>
      <c r="D13" s="3" t="s">
        <v>67</v>
      </c>
      <c r="E13" s="3" t="s">
        <v>65</v>
      </c>
      <c r="F13" s="8">
        <v>0.01</v>
      </c>
      <c r="G13" s="9">
        <v>0</v>
      </c>
      <c r="H13" s="9">
        <v>0</v>
      </c>
      <c r="I13" s="9">
        <v>0</v>
      </c>
      <c r="J13" s="9">
        <v>1</v>
      </c>
      <c r="K13" s="9">
        <v>1</v>
      </c>
      <c r="L13" s="5">
        <v>0</v>
      </c>
      <c r="M13" s="6">
        <f>Profiles!D3</f>
        <v>1716</v>
      </c>
      <c r="N13" s="10">
        <f>IF(H13&gt;0,H13,IF(D13="entity",MAX(Assumptions!$B$7,ROUNDUP(Assumptions!$B$2*Assumptions!$B$7*Assumptions!$B$8,0)),1))</f>
        <v>1</v>
      </c>
      <c r="O13" s="10">
        <f>IF(I13&gt;0,I13,IF(D13="entity",MAX(Assumptions!$B$7,ROUNDUP(Assumptions!$B$3*Assumptions!$B$7*Assumptions!$B$8,0)),1))</f>
        <v>1</v>
      </c>
      <c r="P13" s="6">
        <f>ROUNDUP(Assumptions!$B$2*Assumptions!$B$4*Assumptions!$B$5/J13,0)*K13*(1+L13)</f>
        <v>1100</v>
      </c>
      <c r="Q13" s="6">
        <f>ROUNDUP(Assumptions!$B$3*Assumptions!$B$4*Assumptions!$B$5/J13,0)*K13*(1+L13)</f>
        <v>11000</v>
      </c>
      <c r="R13" s="11">
        <f>P13*F13</f>
        <v>11.0</v>
      </c>
      <c r="S13" s="11">
        <f>Q13*F13</f>
        <v>110.0</v>
      </c>
      <c r="T13" s="6">
        <f>IF(D13="demand",P13*Assumptions!$B$17,ROUNDUP(N13/J13,0)*M13*K13*(1+L13))</f>
        <v>1716</v>
      </c>
      <c r="U13" s="6">
        <f>IF(D13="demand",Q13*Assumptions!$B$17,ROUNDUP(O13/J13,0)*M13*K13*(1+L13))</f>
        <v>1716</v>
      </c>
      <c r="V13" s="11">
        <f>T13*F13</f>
        <v>17.16</v>
      </c>
      <c r="W13" s="11">
        <f>U13*F13</f>
        <v>17.16</v>
      </c>
      <c r="X13" s="3" t="s">
        <v>714</v>
      </c>
      <c r="Y13" s="7" t="s">
        <v>715</v>
      </c>
    </row>
    <row r="14" spans="1:25" ht="62" customHeight="1">
      <c r="A14" s="3" t="s">
        <v>199</v>
      </c>
      <c r="B14" s="3" t="s">
        <v>105</v>
      </c>
      <c r="C14" s="3" t="s">
        <v>200</v>
      </c>
      <c r="D14" s="3" t="s">
        <v>64</v>
      </c>
      <c r="E14" s="3" t="s">
        <v>62</v>
      </c>
      <c r="F14" s="8">
        <v>0.01</v>
      </c>
      <c r="G14" s="9">
        <v>0</v>
      </c>
      <c r="H14" s="9">
        <v>5</v>
      </c>
      <c r="I14" s="9">
        <v>5</v>
      </c>
      <c r="J14" s="9">
        <v>1</v>
      </c>
      <c r="K14" s="9">
        <v>1</v>
      </c>
      <c r="L14" s="5">
        <v>0</v>
      </c>
      <c r="M14" s="6">
        <f>Profiles!D2</f>
        <v>1716</v>
      </c>
      <c r="N14" s="10">
        <f>IF(H14&gt;0,H14,IF(D14="entity",MAX(Assumptions!$B$7,ROUNDUP(Assumptions!$B$2*Assumptions!$B$7*Assumptions!$B$8,0)),1))</f>
        <v>5</v>
      </c>
      <c r="O14" s="10">
        <f>IF(I14&gt;0,I14,IF(D14="entity",MAX(Assumptions!$B$7,ROUNDUP(Assumptions!$B$3*Assumptions!$B$7*Assumptions!$B$8,0)),1))</f>
        <v>5</v>
      </c>
      <c r="P14" s="6">
        <f>ROUNDUP(Assumptions!$B$2*Assumptions!$B$4*Assumptions!$B$5/J14,0)*K14*(1+L14)</f>
        <v>1100</v>
      </c>
      <c r="Q14" s="6">
        <f>ROUNDUP(Assumptions!$B$3*Assumptions!$B$4*Assumptions!$B$5/J14,0)*K14*(1+L14)</f>
        <v>11000</v>
      </c>
      <c r="R14" s="11">
        <f>P14*F14</f>
        <v>11.0</v>
      </c>
      <c r="S14" s="11">
        <f>Q14*F14</f>
        <v>110.0</v>
      </c>
      <c r="T14" s="6">
        <f>IF(D14="demand",P14*Assumptions!$B$17,ROUNDUP(N14/J14,0)*M14*K14*(1+L14))</f>
        <v>8580</v>
      </c>
      <c r="U14" s="6">
        <f>IF(D14="demand",Q14*Assumptions!$B$17,ROUNDUP(O14/J14,0)*M14*K14*(1+L14))</f>
        <v>8580</v>
      </c>
      <c r="V14" s="11">
        <f>T14*F14</f>
        <v>85.8</v>
      </c>
      <c r="W14" s="11">
        <f>U14*F14</f>
        <v>85.8</v>
      </c>
      <c r="X14" s="3" t="s">
        <v>716</v>
      </c>
      <c r="Y14" s="7" t="s">
        <v>715</v>
      </c>
    </row>
    <row r="15" spans="1:25" ht="62" customHeight="1">
      <c r="A15" s="3" t="s">
        <v>205</v>
      </c>
      <c r="B15" s="3" t="s">
        <v>105</v>
      </c>
      <c r="C15" s="3" t="s">
        <v>206</v>
      </c>
      <c r="D15" s="3" t="s">
        <v>64</v>
      </c>
      <c r="E15" s="3" t="s">
        <v>81</v>
      </c>
      <c r="F15" s="8">
        <v>0.01</v>
      </c>
      <c r="G15" s="9">
        <v>0</v>
      </c>
      <c r="H15" s="9">
        <v>2</v>
      </c>
      <c r="I15" s="9">
        <v>2</v>
      </c>
      <c r="J15" s="9">
        <v>1</v>
      </c>
      <c r="K15" s="9">
        <v>1</v>
      </c>
      <c r="L15" s="5">
        <v>0</v>
      </c>
      <c r="M15" s="6">
        <f>Profiles!D10</f>
        <v>8640</v>
      </c>
      <c r="N15" s="10">
        <f>IF(H15&gt;0,H15,IF(D15="entity",MAX(Assumptions!$B$7,ROUNDUP(Assumptions!$B$2*Assumptions!$B$7*Assumptions!$B$8,0)),1))</f>
        <v>2</v>
      </c>
      <c r="O15" s="10">
        <f>IF(I15&gt;0,I15,IF(D15="entity",MAX(Assumptions!$B$7,ROUNDUP(Assumptions!$B$3*Assumptions!$B$7*Assumptions!$B$8,0)),1))</f>
        <v>2</v>
      </c>
      <c r="P15" s="6">
        <f>ROUNDUP(Assumptions!$B$2*Assumptions!$B$4*Assumptions!$B$5/J15,0)*K15*(1+L15)</f>
        <v>1100</v>
      </c>
      <c r="Q15" s="6">
        <f>ROUNDUP(Assumptions!$B$3*Assumptions!$B$4*Assumptions!$B$5/J15,0)*K15*(1+L15)</f>
        <v>11000</v>
      </c>
      <c r="R15" s="11">
        <f>P15*F15</f>
        <v>11.0</v>
      </c>
      <c r="S15" s="11">
        <f>Q15*F15</f>
        <v>110.0</v>
      </c>
      <c r="T15" s="6">
        <f>IF(D15="demand",P15*Assumptions!$B$17,ROUNDUP(N15/J15,0)*M15*K15*(1+L15))</f>
        <v>17280</v>
      </c>
      <c r="U15" s="6">
        <f>IF(D15="demand",Q15*Assumptions!$B$17,ROUNDUP(O15/J15,0)*M15*K15*(1+L15))</f>
        <v>17280</v>
      </c>
      <c r="V15" s="11">
        <f>T15*F15</f>
        <v>172.8</v>
      </c>
      <c r="W15" s="11">
        <f>U15*F15</f>
        <v>172.8</v>
      </c>
      <c r="X15" s="3" t="s">
        <v>717</v>
      </c>
      <c r="Y15" s="7" t="s">
        <v>715</v>
      </c>
    </row>
    <row r="16" spans="1:25" ht="62" customHeight="1">
      <c r="A16" s="3" t="s">
        <v>211</v>
      </c>
      <c r="B16" s="3" t="s">
        <v>105</v>
      </c>
      <c r="C16" s="3" t="s">
        <v>212</v>
      </c>
      <c r="D16" s="3" t="s">
        <v>64</v>
      </c>
      <c r="E16" s="3" t="s">
        <v>68</v>
      </c>
      <c r="F16" s="8">
        <v>0.01</v>
      </c>
      <c r="G16" s="9">
        <v>0</v>
      </c>
      <c r="H16" s="9">
        <v>0</v>
      </c>
      <c r="I16" s="9">
        <v>0</v>
      </c>
      <c r="J16" s="9">
        <v>1</v>
      </c>
      <c r="K16" s="9">
        <v>1</v>
      </c>
      <c r="L16" s="5">
        <v>0</v>
      </c>
      <c r="M16" s="6">
        <f>Profiles!D4</f>
        <v>480</v>
      </c>
      <c r="N16" s="10">
        <f>IF(H16&gt;0,H16,IF(D16="entity",MAX(Assumptions!$B$7,ROUNDUP(Assumptions!$B$2*Assumptions!$B$7*Assumptions!$B$8,0)),1))</f>
        <v>100</v>
      </c>
      <c r="O16" s="10">
        <f>IF(I16&gt;0,I16,IF(D16="entity",MAX(Assumptions!$B$7,ROUNDUP(Assumptions!$B$3*Assumptions!$B$7*Assumptions!$B$8,0)),1))</f>
        <v>1000</v>
      </c>
      <c r="P16" s="6">
        <f>ROUNDUP(Assumptions!$B$2*Assumptions!$B$4*Assumptions!$B$5/J16,0)*K16*(1+L16)</f>
        <v>1100</v>
      </c>
      <c r="Q16" s="6">
        <f>ROUNDUP(Assumptions!$B$3*Assumptions!$B$4*Assumptions!$B$5/J16,0)*K16*(1+L16)</f>
        <v>11000</v>
      </c>
      <c r="R16" s="11">
        <f>P16*F16</f>
        <v>11.0</v>
      </c>
      <c r="S16" s="11">
        <f>Q16*F16</f>
        <v>110.0</v>
      </c>
      <c r="T16" s="6">
        <f>IF(D16="demand",P16*Assumptions!$B$17,ROUNDUP(N16/J16,0)*M16*K16*(1+L16))</f>
        <v>48000</v>
      </c>
      <c r="U16" s="6">
        <f>IF(D16="demand",Q16*Assumptions!$B$17,ROUNDUP(O16/J16,0)*M16*K16*(1+L16))</f>
        <v>480000</v>
      </c>
      <c r="V16" s="11">
        <f>T16*F16</f>
        <v>480.0</v>
      </c>
      <c r="W16" s="11">
        <f>U16*F16</f>
        <v>4800.0</v>
      </c>
      <c r="X16" s="3" t="s">
        <v>714</v>
      </c>
      <c r="Y16" s="7" t="s">
        <v>715</v>
      </c>
    </row>
    <row r="17" spans="1:25" ht="62" customHeight="1">
      <c r="A17" s="3" t="s">
        <v>220</v>
      </c>
      <c r="B17" s="3" t="s">
        <v>105</v>
      </c>
      <c r="C17" s="3" t="s">
        <v>221</v>
      </c>
      <c r="D17" s="3" t="s">
        <v>64</v>
      </c>
      <c r="E17" s="3" t="s">
        <v>74</v>
      </c>
      <c r="F17" s="8">
        <v>0.01</v>
      </c>
      <c r="G17" s="9">
        <v>0</v>
      </c>
      <c r="H17" s="9">
        <v>0</v>
      </c>
      <c r="I17" s="9">
        <v>0</v>
      </c>
      <c r="J17" s="9">
        <v>1</v>
      </c>
      <c r="K17" s="9">
        <v>1</v>
      </c>
      <c r="L17" s="5">
        <v>0</v>
      </c>
      <c r="M17" s="6">
        <f>Profiles!D7</f>
        <v>30</v>
      </c>
      <c r="N17" s="10">
        <f>IF(H17&gt;0,H17,IF(D17="entity",MAX(Assumptions!$B$7,ROUNDUP(Assumptions!$B$2*Assumptions!$B$7*Assumptions!$B$8,0)),1))</f>
        <v>100</v>
      </c>
      <c r="O17" s="10">
        <f>IF(I17&gt;0,I17,IF(D17="entity",MAX(Assumptions!$B$7,ROUNDUP(Assumptions!$B$3*Assumptions!$B$7*Assumptions!$B$8,0)),1))</f>
        <v>1000</v>
      </c>
      <c r="P17" s="6">
        <f>ROUNDUP(Assumptions!$B$2*Assumptions!$B$4*Assumptions!$B$5/J17,0)*K17*(1+L17)</f>
        <v>1100</v>
      </c>
      <c r="Q17" s="6">
        <f>ROUNDUP(Assumptions!$B$3*Assumptions!$B$4*Assumptions!$B$5/J17,0)*K17*(1+L17)</f>
        <v>11000</v>
      </c>
      <c r="R17" s="11">
        <f>P17*F17</f>
        <v>11.0</v>
      </c>
      <c r="S17" s="11">
        <f>Q17*F17</f>
        <v>110.0</v>
      </c>
      <c r="T17" s="6">
        <f>IF(D17="demand",P17*Assumptions!$B$17,ROUNDUP(N17/J17,0)*M17*K17*(1+L17))</f>
        <v>3000</v>
      </c>
      <c r="U17" s="6">
        <f>IF(D17="demand",Q17*Assumptions!$B$17,ROUNDUP(O17/J17,0)*M17*K17*(1+L17))</f>
        <v>30000</v>
      </c>
      <c r="V17" s="11">
        <f>T17*F17</f>
        <v>30.0</v>
      </c>
      <c r="W17" s="11">
        <f>U17*F17</f>
        <v>300.0</v>
      </c>
      <c r="X17" s="3" t="s">
        <v>714</v>
      </c>
      <c r="Y17" s="7" t="s">
        <v>715</v>
      </c>
    </row>
    <row r="18" spans="1:25" ht="62" customHeight="1">
      <c r="A18" s="3" t="s">
        <v>226</v>
      </c>
      <c r="B18" s="3" t="s">
        <v>105</v>
      </c>
      <c r="C18" s="3" t="s">
        <v>227</v>
      </c>
      <c r="D18" s="3" t="s">
        <v>64</v>
      </c>
      <c r="E18" s="3" t="s">
        <v>62</v>
      </c>
      <c r="F18" s="8">
        <v>0.01</v>
      </c>
      <c r="G18" s="9">
        <v>0</v>
      </c>
      <c r="H18" s="9">
        <v>5</v>
      </c>
      <c r="I18" s="9">
        <v>5</v>
      </c>
      <c r="J18" s="9">
        <v>1</v>
      </c>
      <c r="K18" s="9">
        <v>1</v>
      </c>
      <c r="L18" s="5">
        <v>0</v>
      </c>
      <c r="M18" s="6">
        <f>Profiles!D2</f>
        <v>1716</v>
      </c>
      <c r="N18" s="10">
        <f>IF(H18&gt;0,H18,IF(D18="entity",MAX(Assumptions!$B$7,ROUNDUP(Assumptions!$B$2*Assumptions!$B$7*Assumptions!$B$8,0)),1))</f>
        <v>5</v>
      </c>
      <c r="O18" s="10">
        <f>IF(I18&gt;0,I18,IF(D18="entity",MAX(Assumptions!$B$7,ROUNDUP(Assumptions!$B$3*Assumptions!$B$7*Assumptions!$B$8,0)),1))</f>
        <v>5</v>
      </c>
      <c r="P18" s="6">
        <f>ROUNDUP(Assumptions!$B$2*Assumptions!$B$4*Assumptions!$B$5/J18,0)*K18*(1+L18)</f>
        <v>1100</v>
      </c>
      <c r="Q18" s="6">
        <f>ROUNDUP(Assumptions!$B$3*Assumptions!$B$4*Assumptions!$B$5/J18,0)*K18*(1+L18)</f>
        <v>11000</v>
      </c>
      <c r="R18" s="11">
        <f>P18*F18</f>
        <v>11.0</v>
      </c>
      <c r="S18" s="11">
        <f>Q18*F18</f>
        <v>110.0</v>
      </c>
      <c r="T18" s="6">
        <f>IF(D18="demand",P18*Assumptions!$B$17,ROUNDUP(N18/J18,0)*M18*K18*(1+L18))</f>
        <v>8580</v>
      </c>
      <c r="U18" s="6">
        <f>IF(D18="demand",Q18*Assumptions!$B$17,ROUNDUP(O18/J18,0)*M18*K18*(1+L18))</f>
        <v>8580</v>
      </c>
      <c r="V18" s="11">
        <f>T18*F18</f>
        <v>85.8</v>
      </c>
      <c r="W18" s="11">
        <f>U18*F18</f>
        <v>85.8</v>
      </c>
      <c r="X18" s="3" t="s">
        <v>716</v>
      </c>
      <c r="Y18" s="7" t="s">
        <v>715</v>
      </c>
    </row>
    <row r="19" spans="1:25" ht="62" customHeight="1">
      <c r="A19" s="3" t="s">
        <v>232</v>
      </c>
      <c r="B19" s="3" t="s">
        <v>105</v>
      </c>
      <c r="C19" s="3" t="s">
        <v>233</v>
      </c>
      <c r="D19" s="3" t="s">
        <v>64</v>
      </c>
      <c r="E19" s="3" t="s">
        <v>74</v>
      </c>
      <c r="F19" s="8">
        <v>0.01</v>
      </c>
      <c r="G19" s="9">
        <v>0</v>
      </c>
      <c r="H19" s="9">
        <v>0</v>
      </c>
      <c r="I19" s="9">
        <v>0</v>
      </c>
      <c r="J19" s="9">
        <v>1</v>
      </c>
      <c r="K19" s="9">
        <v>1</v>
      </c>
      <c r="L19" s="5">
        <v>0</v>
      </c>
      <c r="M19" s="6">
        <f>Profiles!D7</f>
        <v>30</v>
      </c>
      <c r="N19" s="10">
        <f>IF(H19&gt;0,H19,IF(D19="entity",MAX(Assumptions!$B$7,ROUNDUP(Assumptions!$B$2*Assumptions!$B$7*Assumptions!$B$8,0)),1))</f>
        <v>100</v>
      </c>
      <c r="O19" s="10">
        <f>IF(I19&gt;0,I19,IF(D19="entity",MAX(Assumptions!$B$7,ROUNDUP(Assumptions!$B$3*Assumptions!$B$7*Assumptions!$B$8,0)),1))</f>
        <v>1000</v>
      </c>
      <c r="P19" s="6">
        <f>ROUNDUP(Assumptions!$B$2*Assumptions!$B$4*Assumptions!$B$5/J19,0)*K19*(1+L19)</f>
        <v>1100</v>
      </c>
      <c r="Q19" s="6">
        <f>ROUNDUP(Assumptions!$B$3*Assumptions!$B$4*Assumptions!$B$5/J19,0)*K19*(1+L19)</f>
        <v>11000</v>
      </c>
      <c r="R19" s="11">
        <f>P19*F19</f>
        <v>11.0</v>
      </c>
      <c r="S19" s="11">
        <f>Q19*F19</f>
        <v>110.0</v>
      </c>
      <c r="T19" s="6">
        <f>IF(D19="demand",P19*Assumptions!$B$17,ROUNDUP(N19/J19,0)*M19*K19*(1+L19))</f>
        <v>3000</v>
      </c>
      <c r="U19" s="6">
        <f>IF(D19="demand",Q19*Assumptions!$B$17,ROUNDUP(O19/J19,0)*M19*K19*(1+L19))</f>
        <v>30000</v>
      </c>
      <c r="V19" s="11">
        <f>T19*F19</f>
        <v>30.0</v>
      </c>
      <c r="W19" s="11">
        <f>U19*F19</f>
        <v>300.0</v>
      </c>
      <c r="X19" s="3" t="s">
        <v>714</v>
      </c>
      <c r="Y19" s="7" t="s">
        <v>715</v>
      </c>
    </row>
    <row r="20" spans="1:25" ht="62" customHeight="1">
      <c r="A20" s="3" t="s">
        <v>240</v>
      </c>
      <c r="B20" s="3" t="s">
        <v>105</v>
      </c>
      <c r="C20" s="3" t="s">
        <v>241</v>
      </c>
      <c r="D20" s="3" t="s">
        <v>64</v>
      </c>
      <c r="E20" s="3" t="s">
        <v>62</v>
      </c>
      <c r="F20" s="8">
        <v>0.01</v>
      </c>
      <c r="G20" s="9">
        <v>0</v>
      </c>
      <c r="H20" s="9">
        <v>0</v>
      </c>
      <c r="I20" s="9">
        <v>0</v>
      </c>
      <c r="J20" s="9">
        <v>1</v>
      </c>
      <c r="K20" s="9">
        <v>1</v>
      </c>
      <c r="L20" s="5">
        <v>0</v>
      </c>
      <c r="M20" s="6">
        <f>Profiles!D2</f>
        <v>1716</v>
      </c>
      <c r="N20" s="10">
        <f>IF(H20&gt;0,H20,IF(D20="entity",MAX(Assumptions!$B$7,ROUNDUP(Assumptions!$B$2*Assumptions!$B$7*Assumptions!$B$8,0)),1))</f>
        <v>100</v>
      </c>
      <c r="O20" s="10">
        <f>IF(I20&gt;0,I20,IF(D20="entity",MAX(Assumptions!$B$7,ROUNDUP(Assumptions!$B$3*Assumptions!$B$7*Assumptions!$B$8,0)),1))</f>
        <v>1000</v>
      </c>
      <c r="P20" s="6">
        <f>ROUNDUP(Assumptions!$B$2*Assumptions!$B$4*Assumptions!$B$5/J20,0)*K20*(1+L20)</f>
        <v>1100</v>
      </c>
      <c r="Q20" s="6">
        <f>ROUNDUP(Assumptions!$B$3*Assumptions!$B$4*Assumptions!$B$5/J20,0)*K20*(1+L20)</f>
        <v>11000</v>
      </c>
      <c r="R20" s="11">
        <f>P20*F20</f>
        <v>11.0</v>
      </c>
      <c r="S20" s="11">
        <f>Q20*F20</f>
        <v>110.0</v>
      </c>
      <c r="T20" s="6">
        <f>IF(D20="demand",P20*Assumptions!$B$17,ROUNDUP(N20/J20,0)*M20*K20*(1+L20))</f>
        <v>171600</v>
      </c>
      <c r="U20" s="6">
        <f>IF(D20="demand",Q20*Assumptions!$B$17,ROUNDUP(O20/J20,0)*M20*K20*(1+L20))</f>
        <v>1716000</v>
      </c>
      <c r="V20" s="11">
        <f>T20*F20</f>
        <v>1716.0</v>
      </c>
      <c r="W20" s="11">
        <f>U20*F20</f>
        <v>17160.0</v>
      </c>
      <c r="X20" s="3" t="s">
        <v>714</v>
      </c>
      <c r="Y20" s="7" t="s">
        <v>715</v>
      </c>
    </row>
    <row r="21" spans="1:25" ht="62" customHeight="1">
      <c r="A21" s="3" t="s">
        <v>249</v>
      </c>
      <c r="B21" s="3" t="s">
        <v>105</v>
      </c>
      <c r="C21" s="3" t="s">
        <v>250</v>
      </c>
      <c r="D21" s="3" t="s">
        <v>67</v>
      </c>
      <c r="E21" s="3" t="s">
        <v>76</v>
      </c>
      <c r="F21" s="8">
        <v>0.01</v>
      </c>
      <c r="G21" s="9">
        <v>0</v>
      </c>
      <c r="H21" s="9">
        <v>0</v>
      </c>
      <c r="I21" s="9">
        <v>0</v>
      </c>
      <c r="J21" s="9">
        <v>1</v>
      </c>
      <c r="K21" s="9">
        <v>1</v>
      </c>
      <c r="L21" s="5">
        <v>0</v>
      </c>
      <c r="M21" s="6">
        <f>Profiles!D8</f>
        <v>30</v>
      </c>
      <c r="N21" s="10">
        <f>IF(H21&gt;0,H21,IF(D21="entity",MAX(Assumptions!$B$7,ROUNDUP(Assumptions!$B$2*Assumptions!$B$7*Assumptions!$B$8,0)),1))</f>
        <v>1</v>
      </c>
      <c r="O21" s="10">
        <f>IF(I21&gt;0,I21,IF(D21="entity",MAX(Assumptions!$B$7,ROUNDUP(Assumptions!$B$3*Assumptions!$B$7*Assumptions!$B$8,0)),1))</f>
        <v>1</v>
      </c>
      <c r="P21" s="6">
        <f>ROUNDUP(Assumptions!$B$2*Assumptions!$B$4*Assumptions!$B$5/J21,0)*K21*(1+L21)</f>
        <v>1100</v>
      </c>
      <c r="Q21" s="6">
        <f>ROUNDUP(Assumptions!$B$3*Assumptions!$B$4*Assumptions!$B$5/J21,0)*K21*(1+L21)</f>
        <v>11000</v>
      </c>
      <c r="R21" s="11">
        <f>P21*F21</f>
        <v>11.0</v>
      </c>
      <c r="S21" s="11">
        <f>Q21*F21</f>
        <v>110.0</v>
      </c>
      <c r="T21" s="6">
        <f>IF(D21="demand",P21*Assumptions!$B$17,ROUNDUP(N21/J21,0)*M21*K21*(1+L21))</f>
        <v>30</v>
      </c>
      <c r="U21" s="6">
        <f>IF(D21="demand",Q21*Assumptions!$B$17,ROUNDUP(O21/J21,0)*M21*K21*(1+L21))</f>
        <v>30</v>
      </c>
      <c r="V21" s="11">
        <f>T21*F21</f>
        <v>0.3</v>
      </c>
      <c r="W21" s="11">
        <f>U21*F21</f>
        <v>0.3</v>
      </c>
      <c r="X21" s="3" t="s">
        <v>714</v>
      </c>
      <c r="Y21" s="7" t="s">
        <v>715</v>
      </c>
    </row>
    <row r="22" spans="1:25" ht="62" customHeight="1">
      <c r="A22" s="3" t="s">
        <v>257</v>
      </c>
      <c r="B22" s="3" t="s">
        <v>258</v>
      </c>
      <c r="C22" s="3" t="s">
        <v>259</v>
      </c>
      <c r="D22" s="3" t="s">
        <v>64</v>
      </c>
      <c r="E22" s="3" t="s">
        <v>74</v>
      </c>
      <c r="F22" s="8">
        <v>0.05</v>
      </c>
      <c r="G22" s="9">
        <v>0</v>
      </c>
      <c r="H22" s="9">
        <v>0</v>
      </c>
      <c r="I22" s="9">
        <v>0</v>
      </c>
      <c r="J22" s="9">
        <v>1</v>
      </c>
      <c r="K22" s="9">
        <v>1</v>
      </c>
      <c r="L22" s="5">
        <v>0</v>
      </c>
      <c r="M22" s="6">
        <f>Profiles!D7</f>
        <v>30</v>
      </c>
      <c r="N22" s="10">
        <f>IF(H22&gt;0,H22,IF(D22="entity",MAX(Assumptions!$B$7,ROUNDUP(Assumptions!$B$2*Assumptions!$B$7*Assumptions!$B$8,0)),1))</f>
        <v>100</v>
      </c>
      <c r="O22" s="10">
        <f>IF(I22&gt;0,I22,IF(D22="entity",MAX(Assumptions!$B$7,ROUNDUP(Assumptions!$B$3*Assumptions!$B$7*Assumptions!$B$8,0)),1))</f>
        <v>1000</v>
      </c>
      <c r="P22" s="6">
        <f>ROUNDUP(Assumptions!$B$2*Assumptions!$B$4*Assumptions!$B$5/J22,0)*K22*(1+L22)</f>
        <v>1100</v>
      </c>
      <c r="Q22" s="6">
        <f>ROUNDUP(Assumptions!$B$3*Assumptions!$B$4*Assumptions!$B$5/J22,0)*K22*(1+L22)</f>
        <v>11000</v>
      </c>
      <c r="R22" s="11">
        <f>P22*F22</f>
        <v>55.0</v>
      </c>
      <c r="S22" s="11">
        <f>Q22*F22</f>
        <v>550.0</v>
      </c>
      <c r="T22" s="6">
        <f>IF(D22="demand",P22*Assumptions!$B$17,ROUNDUP(N22/J22,0)*M22*K22*(1+L22))</f>
        <v>3000</v>
      </c>
      <c r="U22" s="6">
        <f>IF(D22="demand",Q22*Assumptions!$B$17,ROUNDUP(O22/J22,0)*M22*K22*(1+L22))</f>
        <v>30000</v>
      </c>
      <c r="V22" s="11">
        <f>T22*F22</f>
        <v>150.0</v>
      </c>
      <c r="W22" s="11">
        <f>U22*F22</f>
        <v>1500.0</v>
      </c>
      <c r="X22" s="3" t="s">
        <v>714</v>
      </c>
      <c r="Y22" s="7" t="s">
        <v>715</v>
      </c>
    </row>
    <row r="23" spans="1:25" ht="62" customHeight="1">
      <c r="A23" s="3" t="s">
        <v>267</v>
      </c>
      <c r="B23" s="3" t="s">
        <v>258</v>
      </c>
      <c r="C23" s="3" t="s">
        <v>268</v>
      </c>
      <c r="D23" s="3" t="s">
        <v>64</v>
      </c>
      <c r="E23" s="3" t="s">
        <v>74</v>
      </c>
      <c r="F23" s="8">
        <v>0.05</v>
      </c>
      <c r="G23" s="9">
        <v>0</v>
      </c>
      <c r="H23" s="9">
        <v>0</v>
      </c>
      <c r="I23" s="9">
        <v>0</v>
      </c>
      <c r="J23" s="9">
        <v>1</v>
      </c>
      <c r="K23" s="9">
        <v>1</v>
      </c>
      <c r="L23" s="5">
        <v>0</v>
      </c>
      <c r="M23" s="6">
        <f>Profiles!D7</f>
        <v>30</v>
      </c>
      <c r="N23" s="10">
        <f>IF(H23&gt;0,H23,IF(D23="entity",MAX(Assumptions!$B$7,ROUNDUP(Assumptions!$B$2*Assumptions!$B$7*Assumptions!$B$8,0)),1))</f>
        <v>100</v>
      </c>
      <c r="O23" s="10">
        <f>IF(I23&gt;0,I23,IF(D23="entity",MAX(Assumptions!$B$7,ROUNDUP(Assumptions!$B$3*Assumptions!$B$7*Assumptions!$B$8,0)),1))</f>
        <v>1000</v>
      </c>
      <c r="P23" s="6">
        <f>ROUNDUP(Assumptions!$B$2*Assumptions!$B$4*Assumptions!$B$5/J23,0)*K23*(1+L23)</f>
        <v>1100</v>
      </c>
      <c r="Q23" s="6">
        <f>ROUNDUP(Assumptions!$B$3*Assumptions!$B$4*Assumptions!$B$5/J23,0)*K23*(1+L23)</f>
        <v>11000</v>
      </c>
      <c r="R23" s="11">
        <f>P23*F23</f>
        <v>55.0</v>
      </c>
      <c r="S23" s="11">
        <f>Q23*F23</f>
        <v>550.0</v>
      </c>
      <c r="T23" s="6">
        <f>IF(D23="demand",P23*Assumptions!$B$17,ROUNDUP(N23/J23,0)*M23*K23*(1+L23))</f>
        <v>3000</v>
      </c>
      <c r="U23" s="6">
        <f>IF(D23="demand",Q23*Assumptions!$B$17,ROUNDUP(O23/J23,0)*M23*K23*(1+L23))</f>
        <v>30000</v>
      </c>
      <c r="V23" s="11">
        <f>T23*F23</f>
        <v>150.0</v>
      </c>
      <c r="W23" s="11">
        <f>U23*F23</f>
        <v>1500.0</v>
      </c>
      <c r="X23" s="3" t="s">
        <v>714</v>
      </c>
      <c r="Y23" s="7" t="s">
        <v>715</v>
      </c>
    </row>
    <row r="24" spans="1:25" ht="62" customHeight="1">
      <c r="A24" s="3" t="s">
        <v>275</v>
      </c>
      <c r="B24" s="3" t="s">
        <v>258</v>
      </c>
      <c r="C24" s="3" t="s">
        <v>212</v>
      </c>
      <c r="D24" s="3" t="s">
        <v>64</v>
      </c>
      <c r="E24" s="3" t="s">
        <v>68</v>
      </c>
      <c r="F24" s="8">
        <v>0.05</v>
      </c>
      <c r="G24" s="9">
        <v>0</v>
      </c>
      <c r="H24" s="9">
        <v>0</v>
      </c>
      <c r="I24" s="9">
        <v>0</v>
      </c>
      <c r="J24" s="9">
        <v>1</v>
      </c>
      <c r="K24" s="9">
        <v>1</v>
      </c>
      <c r="L24" s="5">
        <v>0</v>
      </c>
      <c r="M24" s="6">
        <f>Profiles!D4</f>
        <v>480</v>
      </c>
      <c r="N24" s="10">
        <f>IF(H24&gt;0,H24,IF(D24="entity",MAX(Assumptions!$B$7,ROUNDUP(Assumptions!$B$2*Assumptions!$B$7*Assumptions!$B$8,0)),1))</f>
        <v>100</v>
      </c>
      <c r="O24" s="10">
        <f>IF(I24&gt;0,I24,IF(D24="entity",MAX(Assumptions!$B$7,ROUNDUP(Assumptions!$B$3*Assumptions!$B$7*Assumptions!$B$8,0)),1))</f>
        <v>1000</v>
      </c>
      <c r="P24" s="6">
        <f>ROUNDUP(Assumptions!$B$2*Assumptions!$B$4*Assumptions!$B$5/J24,0)*K24*(1+L24)</f>
        <v>1100</v>
      </c>
      <c r="Q24" s="6">
        <f>ROUNDUP(Assumptions!$B$3*Assumptions!$B$4*Assumptions!$B$5/J24,0)*K24*(1+L24)</f>
        <v>11000</v>
      </c>
      <c r="R24" s="11">
        <f>P24*F24</f>
        <v>55.0</v>
      </c>
      <c r="S24" s="11">
        <f>Q24*F24</f>
        <v>550.0</v>
      </c>
      <c r="T24" s="6">
        <f>IF(D24="demand",P24*Assumptions!$B$17,ROUNDUP(N24/J24,0)*M24*K24*(1+L24))</f>
        <v>48000</v>
      </c>
      <c r="U24" s="6">
        <f>IF(D24="demand",Q24*Assumptions!$B$17,ROUNDUP(O24/J24,0)*M24*K24*(1+L24))</f>
        <v>480000</v>
      </c>
      <c r="V24" s="11">
        <f>T24*F24</f>
        <v>2400.0</v>
      </c>
      <c r="W24" s="11">
        <f>U24*F24</f>
        <v>24000.0</v>
      </c>
      <c r="X24" s="3" t="s">
        <v>714</v>
      </c>
      <c r="Y24" s="7" t="s">
        <v>715</v>
      </c>
    </row>
    <row r="25" spans="1:25" ht="62" customHeight="1">
      <c r="A25" s="3" t="s">
        <v>280</v>
      </c>
      <c r="B25" s="3" t="s">
        <v>258</v>
      </c>
      <c r="C25" s="3" t="s">
        <v>281</v>
      </c>
      <c r="D25" s="3" t="s">
        <v>64</v>
      </c>
      <c r="E25" s="3" t="s">
        <v>62</v>
      </c>
      <c r="F25" s="8">
        <v>0.05</v>
      </c>
      <c r="G25" s="9">
        <v>0</v>
      </c>
      <c r="H25" s="9">
        <v>0</v>
      </c>
      <c r="I25" s="9">
        <v>0</v>
      </c>
      <c r="J25" s="9">
        <v>1</v>
      </c>
      <c r="K25" s="9">
        <v>1</v>
      </c>
      <c r="L25" s="5">
        <v>0</v>
      </c>
      <c r="M25" s="6">
        <f>Profiles!D2</f>
        <v>1716</v>
      </c>
      <c r="N25" s="10">
        <f>IF(H25&gt;0,H25,IF(D25="entity",MAX(Assumptions!$B$7,ROUNDUP(Assumptions!$B$2*Assumptions!$B$7*Assumptions!$B$8,0)),1))</f>
        <v>100</v>
      </c>
      <c r="O25" s="10">
        <f>IF(I25&gt;0,I25,IF(D25="entity",MAX(Assumptions!$B$7,ROUNDUP(Assumptions!$B$3*Assumptions!$B$7*Assumptions!$B$8,0)),1))</f>
        <v>1000</v>
      </c>
      <c r="P25" s="6">
        <f>ROUNDUP(Assumptions!$B$2*Assumptions!$B$4*Assumptions!$B$5/J25,0)*K25*(1+L25)</f>
        <v>1100</v>
      </c>
      <c r="Q25" s="6">
        <f>ROUNDUP(Assumptions!$B$3*Assumptions!$B$4*Assumptions!$B$5/J25,0)*K25*(1+L25)</f>
        <v>11000</v>
      </c>
      <c r="R25" s="11">
        <f>P25*F25</f>
        <v>55.0</v>
      </c>
      <c r="S25" s="11">
        <f>Q25*F25</f>
        <v>550.0</v>
      </c>
      <c r="T25" s="6">
        <f>IF(D25="demand",P25*Assumptions!$B$17,ROUNDUP(N25/J25,0)*M25*K25*(1+L25))</f>
        <v>171600</v>
      </c>
      <c r="U25" s="6">
        <f>IF(D25="demand",Q25*Assumptions!$B$17,ROUNDUP(O25/J25,0)*M25*K25*(1+L25))</f>
        <v>1716000</v>
      </c>
      <c r="V25" s="11">
        <f>T25*F25</f>
        <v>8580.0</v>
      </c>
      <c r="W25" s="11">
        <f>U25*F25</f>
        <v>85800.0</v>
      </c>
      <c r="X25" s="3" t="s">
        <v>714</v>
      </c>
      <c r="Y25" s="7" t="s">
        <v>715</v>
      </c>
    </row>
    <row r="26" spans="1:25" ht="62" customHeight="1">
      <c r="A26" s="3" t="s">
        <v>286</v>
      </c>
      <c r="B26" s="3" t="s">
        <v>258</v>
      </c>
      <c r="C26" s="3" t="s">
        <v>287</v>
      </c>
      <c r="D26" s="3" t="s">
        <v>80</v>
      </c>
      <c r="E26" s="3" t="s">
        <v>78</v>
      </c>
      <c r="F26" s="8">
        <v>0.05</v>
      </c>
      <c r="G26" s="9">
        <v>0</v>
      </c>
      <c r="H26" s="9">
        <v>0</v>
      </c>
      <c r="I26" s="9">
        <v>0</v>
      </c>
      <c r="J26" s="9">
        <v>1</v>
      </c>
      <c r="K26" s="9">
        <v>1</v>
      </c>
      <c r="L26" s="5">
        <v>0</v>
      </c>
      <c r="M26" s="6">
        <f>Profiles!D9</f>
        <v>0</v>
      </c>
      <c r="N26" s="10">
        <f>IF(H26&gt;0,H26,IF(D26="entity",MAX(Assumptions!$B$7,ROUNDUP(Assumptions!$B$2*Assumptions!$B$7*Assumptions!$B$8,0)),1))</f>
        <v>1</v>
      </c>
      <c r="O26" s="10">
        <f>IF(I26&gt;0,I26,IF(D26="entity",MAX(Assumptions!$B$7,ROUNDUP(Assumptions!$B$3*Assumptions!$B$7*Assumptions!$B$8,0)),1))</f>
        <v>1</v>
      </c>
      <c r="P26" s="6">
        <f>ROUNDUP(Assumptions!$B$2*Assumptions!$B$4*Assumptions!$B$5/J26,0)*K26*(1+L26)</f>
        <v>1100</v>
      </c>
      <c r="Q26" s="6">
        <f>ROUNDUP(Assumptions!$B$3*Assumptions!$B$4*Assumptions!$B$5/J26,0)*K26*(1+L26)</f>
        <v>11000</v>
      </c>
      <c r="R26" s="11">
        <f>P26*F26</f>
        <v>55.0</v>
      </c>
      <c r="S26" s="11">
        <f>Q26*F26</f>
        <v>550.0</v>
      </c>
      <c r="T26" s="6">
        <f>IF(D26="demand",P26*Assumptions!$B$17,ROUNDUP(N26/J26,0)*M26*K26*(1+L26))</f>
        <v>550.0</v>
      </c>
      <c r="U26" s="6">
        <f>IF(D26="demand",Q26*Assumptions!$B$17,ROUNDUP(O26/J26,0)*M26*K26*(1+L26))</f>
        <v>5500.0</v>
      </c>
      <c r="V26" s="11">
        <f>T26*F26</f>
        <v>27.5</v>
      </c>
      <c r="W26" s="11">
        <f>U26*F26</f>
        <v>275.0</v>
      </c>
      <c r="X26" s="3" t="s">
        <v>714</v>
      </c>
      <c r="Y26" s="7" t="s">
        <v>715</v>
      </c>
    </row>
    <row r="27" spans="1:25" ht="62" customHeight="1">
      <c r="A27" s="3" t="s">
        <v>292</v>
      </c>
      <c r="B27" s="3" t="s">
        <v>293</v>
      </c>
      <c r="C27" s="3" t="s">
        <v>294</v>
      </c>
      <c r="D27" s="3" t="s">
        <v>67</v>
      </c>
      <c r="E27" s="3" t="s">
        <v>65</v>
      </c>
      <c r="F27" s="8">
        <v>0.01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5">
        <v>0</v>
      </c>
      <c r="M27" s="6">
        <f>Profiles!D3</f>
        <v>1716</v>
      </c>
      <c r="N27" s="10">
        <f>IF(H27&gt;0,H27,IF(D27="entity",MAX(Assumptions!$B$7,ROUNDUP(Assumptions!$B$2*Assumptions!$B$7*Assumptions!$B$8,0)),1))</f>
        <v>1</v>
      </c>
      <c r="O27" s="10">
        <f>IF(I27&gt;0,I27,IF(D27="entity",MAX(Assumptions!$B$7,ROUNDUP(Assumptions!$B$3*Assumptions!$B$7*Assumptions!$B$8,0)),1))</f>
        <v>1</v>
      </c>
      <c r="P27" s="6">
        <f>ROUNDUP(Assumptions!$B$2*Assumptions!$B$4*Assumptions!$B$5/J27,0)*K27*(1+L27)</f>
        <v>1100</v>
      </c>
      <c r="Q27" s="6">
        <f>ROUNDUP(Assumptions!$B$3*Assumptions!$B$4*Assumptions!$B$5/J27,0)*K27*(1+L27)</f>
        <v>11000</v>
      </c>
      <c r="R27" s="11">
        <f>P27*F27</f>
        <v>11.0</v>
      </c>
      <c r="S27" s="11">
        <f>Q27*F27</f>
        <v>110.0</v>
      </c>
      <c r="T27" s="6">
        <f>IF(D27="demand",P27*Assumptions!$B$17,ROUNDUP(N27/J27,0)*M27*K27*(1+L27))</f>
        <v>1716</v>
      </c>
      <c r="U27" s="6">
        <f>IF(D27="demand",Q27*Assumptions!$B$17,ROUNDUP(O27/J27,0)*M27*K27*(1+L27))</f>
        <v>1716</v>
      </c>
      <c r="V27" s="11">
        <f>T27*F27</f>
        <v>17.16</v>
      </c>
      <c r="W27" s="11">
        <f>U27*F27</f>
        <v>17.16</v>
      </c>
      <c r="X27" s="3" t="s">
        <v>714</v>
      </c>
      <c r="Y27" s="7" t="s">
        <v>715</v>
      </c>
    </row>
    <row r="28" spans="1:25" ht="62" customHeight="1">
      <c r="A28" s="3" t="s">
        <v>521</v>
      </c>
      <c r="B28" s="3" t="s">
        <v>293</v>
      </c>
      <c r="C28" s="3" t="s">
        <v>522</v>
      </c>
      <c r="D28" s="3" t="s">
        <v>67</v>
      </c>
      <c r="E28" s="3" t="s">
        <v>72</v>
      </c>
      <c r="F28" s="8">
        <v>0.01</v>
      </c>
      <c r="G28" s="9">
        <v>0</v>
      </c>
      <c r="H28" s="9">
        <v>0</v>
      </c>
      <c r="I28" s="9">
        <v>0</v>
      </c>
      <c r="J28" s="9">
        <v>1</v>
      </c>
      <c r="K28" s="9">
        <v>1</v>
      </c>
      <c r="L28" s="5">
        <v>0</v>
      </c>
      <c r="M28" s="6">
        <f>Profiles!D6</f>
        <v>1408</v>
      </c>
      <c r="N28" s="10">
        <f>IF(H28&gt;0,H28,IF(D28="entity",MAX(Assumptions!$B$7,ROUNDUP(Assumptions!$B$2*Assumptions!$B$7*Assumptions!$B$8,0)),1))</f>
        <v>1</v>
      </c>
      <c r="O28" s="10">
        <f>IF(I28&gt;0,I28,IF(D28="entity",MAX(Assumptions!$B$7,ROUNDUP(Assumptions!$B$3*Assumptions!$B$7*Assumptions!$B$8,0)),1))</f>
        <v>1</v>
      </c>
      <c r="P28" s="6">
        <f>ROUNDUP(Assumptions!$B$2*Assumptions!$B$4*Assumptions!$B$5/J28,0)*K28*(1+L28)</f>
        <v>1100</v>
      </c>
      <c r="Q28" s="6">
        <f>ROUNDUP(Assumptions!$B$3*Assumptions!$B$4*Assumptions!$B$5/J28,0)*K28*(1+L28)</f>
        <v>11000</v>
      </c>
      <c r="R28" s="11">
        <f>P28*F28</f>
        <v>11.0</v>
      </c>
      <c r="S28" s="11">
        <f>Q28*F28</f>
        <v>110.0</v>
      </c>
      <c r="T28" s="6">
        <f>IF(D28="demand",P28*Assumptions!$B$17,ROUNDUP(N28/J28,0)*M28*K28*(1+L28))</f>
        <v>1408</v>
      </c>
      <c r="U28" s="6">
        <f>IF(D28="demand",Q28*Assumptions!$B$17,ROUNDUP(O28/J28,0)*M28*K28*(1+L28))</f>
        <v>1408</v>
      </c>
      <c r="V28" s="11">
        <f>T28*F28</f>
        <v>14.08</v>
      </c>
      <c r="W28" s="11">
        <f>U28*F28</f>
        <v>14.08</v>
      </c>
      <c r="X28" s="3" t="s">
        <v>714</v>
      </c>
      <c r="Y28" s="7" t="s">
        <v>715</v>
      </c>
    </row>
    <row r="29" spans="1:25" ht="62" customHeight="1">
      <c r="A29" s="3" t="s">
        <v>302</v>
      </c>
      <c r="B29" s="3" t="s">
        <v>293</v>
      </c>
      <c r="C29" s="3" t="s">
        <v>303</v>
      </c>
      <c r="D29" s="3" t="s">
        <v>64</v>
      </c>
      <c r="E29" s="3" t="s">
        <v>62</v>
      </c>
      <c r="F29" s="8">
        <v>0.01</v>
      </c>
      <c r="G29" s="9">
        <v>0</v>
      </c>
      <c r="H29" s="9">
        <v>0</v>
      </c>
      <c r="I29" s="9">
        <v>0</v>
      </c>
      <c r="J29" s="9">
        <v>1</v>
      </c>
      <c r="K29" s="9">
        <v>1</v>
      </c>
      <c r="L29" s="5">
        <v>0</v>
      </c>
      <c r="M29" s="6">
        <f>Profiles!D2</f>
        <v>1716</v>
      </c>
      <c r="N29" s="10">
        <f>IF(H29&gt;0,H29,IF(D29="entity",MAX(Assumptions!$B$7,ROUNDUP(Assumptions!$B$2*Assumptions!$B$7*Assumptions!$B$8,0)),1))</f>
        <v>100</v>
      </c>
      <c r="O29" s="10">
        <f>IF(I29&gt;0,I29,IF(D29="entity",MAX(Assumptions!$B$7,ROUNDUP(Assumptions!$B$3*Assumptions!$B$7*Assumptions!$B$8,0)),1))</f>
        <v>1000</v>
      </c>
      <c r="P29" s="6">
        <f>ROUNDUP(Assumptions!$B$2*Assumptions!$B$4*Assumptions!$B$5/J29,0)*K29*(1+L29)</f>
        <v>1100</v>
      </c>
      <c r="Q29" s="6">
        <f>ROUNDUP(Assumptions!$B$3*Assumptions!$B$4*Assumptions!$B$5/J29,0)*K29*(1+L29)</f>
        <v>11000</v>
      </c>
      <c r="R29" s="11">
        <f>P29*F29</f>
        <v>11.0</v>
      </c>
      <c r="S29" s="11">
        <f>Q29*F29</f>
        <v>110.0</v>
      </c>
      <c r="T29" s="6">
        <f>IF(D29="demand",P29*Assumptions!$B$17,ROUNDUP(N29/J29,0)*M29*K29*(1+L29))</f>
        <v>171600</v>
      </c>
      <c r="U29" s="6">
        <f>IF(D29="demand",Q29*Assumptions!$B$17,ROUNDUP(O29/J29,0)*M29*K29*(1+L29))</f>
        <v>1716000</v>
      </c>
      <c r="V29" s="11">
        <f>T29*F29</f>
        <v>1716.0</v>
      </c>
      <c r="W29" s="11">
        <f>U29*F29</f>
        <v>17160.0</v>
      </c>
      <c r="X29" s="3" t="s">
        <v>714</v>
      </c>
      <c r="Y29" s="7" t="s">
        <v>715</v>
      </c>
    </row>
    <row r="30" spans="1:25" ht="62" customHeight="1">
      <c r="A30" s="3" t="s">
        <v>309</v>
      </c>
      <c r="B30" s="3" t="s">
        <v>293</v>
      </c>
      <c r="C30" s="3" t="s">
        <v>310</v>
      </c>
      <c r="D30" s="3" t="s">
        <v>64</v>
      </c>
      <c r="E30" s="3" t="s">
        <v>68</v>
      </c>
      <c r="F30" s="8">
        <v>0.01</v>
      </c>
      <c r="G30" s="9">
        <v>0</v>
      </c>
      <c r="H30" s="9">
        <v>0</v>
      </c>
      <c r="I30" s="9">
        <v>0</v>
      </c>
      <c r="J30" s="9">
        <v>1</v>
      </c>
      <c r="K30" s="9">
        <v>1</v>
      </c>
      <c r="L30" s="5">
        <v>0</v>
      </c>
      <c r="M30" s="6">
        <f>Profiles!D4</f>
        <v>480</v>
      </c>
      <c r="N30" s="10">
        <f>IF(H30&gt;0,H30,IF(D30="entity",MAX(Assumptions!$B$7,ROUNDUP(Assumptions!$B$2*Assumptions!$B$7*Assumptions!$B$8,0)),1))</f>
        <v>100</v>
      </c>
      <c r="O30" s="10">
        <f>IF(I30&gt;0,I30,IF(D30="entity",MAX(Assumptions!$B$7,ROUNDUP(Assumptions!$B$3*Assumptions!$B$7*Assumptions!$B$8,0)),1))</f>
        <v>1000</v>
      </c>
      <c r="P30" s="6">
        <f>ROUNDUP(Assumptions!$B$2*Assumptions!$B$4*Assumptions!$B$5/J30,0)*K30*(1+L30)</f>
        <v>1100</v>
      </c>
      <c r="Q30" s="6">
        <f>ROUNDUP(Assumptions!$B$3*Assumptions!$B$4*Assumptions!$B$5/J30,0)*K30*(1+L30)</f>
        <v>11000</v>
      </c>
      <c r="R30" s="11">
        <f>P30*F30</f>
        <v>11.0</v>
      </c>
      <c r="S30" s="11">
        <f>Q30*F30</f>
        <v>110.0</v>
      </c>
      <c r="T30" s="6">
        <f>IF(D30="demand",P30*Assumptions!$B$17,ROUNDUP(N30/J30,0)*M30*K30*(1+L30))</f>
        <v>48000</v>
      </c>
      <c r="U30" s="6">
        <f>IF(D30="demand",Q30*Assumptions!$B$17,ROUNDUP(O30/J30,0)*M30*K30*(1+L30))</f>
        <v>480000</v>
      </c>
      <c r="V30" s="11">
        <f>T30*F30</f>
        <v>480.0</v>
      </c>
      <c r="W30" s="11">
        <f>U30*F30</f>
        <v>4800.0</v>
      </c>
      <c r="X30" s="3" t="s">
        <v>714</v>
      </c>
      <c r="Y30" s="7" t="s">
        <v>715</v>
      </c>
    </row>
    <row r="31" spans="1:25" ht="62" customHeight="1">
      <c r="A31" s="3" t="s">
        <v>318</v>
      </c>
      <c r="B31" s="3" t="s">
        <v>293</v>
      </c>
      <c r="C31" s="3" t="s">
        <v>194</v>
      </c>
      <c r="D31" s="3" t="s">
        <v>67</v>
      </c>
      <c r="E31" s="3" t="s">
        <v>65</v>
      </c>
      <c r="F31" s="8">
        <v>0.01</v>
      </c>
      <c r="G31" s="9">
        <v>0</v>
      </c>
      <c r="H31" s="9">
        <v>0</v>
      </c>
      <c r="I31" s="9">
        <v>0</v>
      </c>
      <c r="J31" s="9">
        <v>1</v>
      </c>
      <c r="K31" s="9">
        <v>1</v>
      </c>
      <c r="L31" s="5">
        <v>0</v>
      </c>
      <c r="M31" s="6">
        <f>Profiles!D3</f>
        <v>1716</v>
      </c>
      <c r="N31" s="10">
        <f>IF(H31&gt;0,H31,IF(D31="entity",MAX(Assumptions!$B$7,ROUNDUP(Assumptions!$B$2*Assumptions!$B$7*Assumptions!$B$8,0)),1))</f>
        <v>1</v>
      </c>
      <c r="O31" s="10">
        <f>IF(I31&gt;0,I31,IF(D31="entity",MAX(Assumptions!$B$7,ROUNDUP(Assumptions!$B$3*Assumptions!$B$7*Assumptions!$B$8,0)),1))</f>
        <v>1</v>
      </c>
      <c r="P31" s="6">
        <f>ROUNDUP(Assumptions!$B$2*Assumptions!$B$4*Assumptions!$B$5/J31,0)*K31*(1+L31)</f>
        <v>1100</v>
      </c>
      <c r="Q31" s="6">
        <f>ROUNDUP(Assumptions!$B$3*Assumptions!$B$4*Assumptions!$B$5/J31,0)*K31*(1+L31)</f>
        <v>11000</v>
      </c>
      <c r="R31" s="11">
        <f>P31*F31</f>
        <v>11.0</v>
      </c>
      <c r="S31" s="11">
        <f>Q31*F31</f>
        <v>110.0</v>
      </c>
      <c r="T31" s="6">
        <f>IF(D31="demand",P31*Assumptions!$B$17,ROUNDUP(N31/J31,0)*M31*K31*(1+L31))</f>
        <v>1716</v>
      </c>
      <c r="U31" s="6">
        <f>IF(D31="demand",Q31*Assumptions!$B$17,ROUNDUP(O31/J31,0)*M31*K31*(1+L31))</f>
        <v>1716</v>
      </c>
      <c r="V31" s="11">
        <f>T31*F31</f>
        <v>17.16</v>
      </c>
      <c r="W31" s="11">
        <f>U31*F31</f>
        <v>17.16</v>
      </c>
      <c r="X31" s="3" t="s">
        <v>714</v>
      </c>
      <c r="Y31" s="7" t="s">
        <v>715</v>
      </c>
    </row>
    <row r="32" spans="1:25" ht="62" customHeight="1">
      <c r="A32" s="3" t="s">
        <v>323</v>
      </c>
      <c r="B32" s="3" t="s">
        <v>324</v>
      </c>
      <c r="C32" s="3" t="s">
        <v>325</v>
      </c>
      <c r="D32" s="3" t="s">
        <v>64</v>
      </c>
      <c r="E32" s="3" t="s">
        <v>74</v>
      </c>
      <c r="F32" s="8">
        <v>0.02</v>
      </c>
      <c r="G32" s="9">
        <v>0</v>
      </c>
      <c r="H32" s="9">
        <v>0</v>
      </c>
      <c r="I32" s="9">
        <v>0</v>
      </c>
      <c r="J32" s="9">
        <v>1</v>
      </c>
      <c r="K32" s="9">
        <v>1</v>
      </c>
      <c r="L32" s="5">
        <v>0</v>
      </c>
      <c r="M32" s="6">
        <f>Profiles!D7</f>
        <v>30</v>
      </c>
      <c r="N32" s="10">
        <f>IF(H32&gt;0,H32,IF(D32="entity",MAX(Assumptions!$B$7,ROUNDUP(Assumptions!$B$2*Assumptions!$B$7*Assumptions!$B$8,0)),1))</f>
        <v>100</v>
      </c>
      <c r="O32" s="10">
        <f>IF(I32&gt;0,I32,IF(D32="entity",MAX(Assumptions!$B$7,ROUNDUP(Assumptions!$B$3*Assumptions!$B$7*Assumptions!$B$8,0)),1))</f>
        <v>1000</v>
      </c>
      <c r="P32" s="6">
        <f>ROUNDUP(Assumptions!$B$2*Assumptions!$B$4*Assumptions!$B$5/J32,0)*K32*(1+L32)</f>
        <v>1100</v>
      </c>
      <c r="Q32" s="6">
        <f>ROUNDUP(Assumptions!$B$3*Assumptions!$B$4*Assumptions!$B$5/J32,0)*K32*(1+L32)</f>
        <v>11000</v>
      </c>
      <c r="R32" s="11">
        <f>P32*F32</f>
        <v>22.0</v>
      </c>
      <c r="S32" s="11">
        <f>Q32*F32</f>
        <v>220.0</v>
      </c>
      <c r="T32" s="6">
        <f>IF(D32="demand",P32*Assumptions!$B$17,ROUNDUP(N32/J32,0)*M32*K32*(1+L32))</f>
        <v>3000</v>
      </c>
      <c r="U32" s="6">
        <f>IF(D32="demand",Q32*Assumptions!$B$17,ROUNDUP(O32/J32,0)*M32*K32*(1+L32))</f>
        <v>30000</v>
      </c>
      <c r="V32" s="11">
        <f>T32*F32</f>
        <v>60.0</v>
      </c>
      <c r="W32" s="11">
        <f>U32*F32</f>
        <v>600.0</v>
      </c>
      <c r="X32" s="3" t="s">
        <v>714</v>
      </c>
      <c r="Y32" s="7" t="s">
        <v>715</v>
      </c>
    </row>
    <row r="33" spans="1:25" ht="62" customHeight="1">
      <c r="A33" s="3" t="s">
        <v>530</v>
      </c>
      <c r="B33" s="3" t="s">
        <v>324</v>
      </c>
      <c r="C33" s="3" t="s">
        <v>531</v>
      </c>
      <c r="D33" s="3" t="s">
        <v>64</v>
      </c>
      <c r="E33" s="3" t="s">
        <v>74</v>
      </c>
      <c r="F33" s="8">
        <v>0.01</v>
      </c>
      <c r="G33" s="9">
        <v>0</v>
      </c>
      <c r="H33" s="9">
        <v>0</v>
      </c>
      <c r="I33" s="9">
        <v>0</v>
      </c>
      <c r="J33" s="9">
        <v>1</v>
      </c>
      <c r="K33" s="9">
        <v>1</v>
      </c>
      <c r="L33" s="5">
        <v>0</v>
      </c>
      <c r="M33" s="6">
        <f>Profiles!D7</f>
        <v>30</v>
      </c>
      <c r="N33" s="10">
        <f>IF(H33&gt;0,H33,IF(D33="entity",MAX(Assumptions!$B$7,ROUNDUP(Assumptions!$B$2*Assumptions!$B$7*Assumptions!$B$8,0)),1))</f>
        <v>100</v>
      </c>
      <c r="O33" s="10">
        <f>IF(I33&gt;0,I33,IF(D33="entity",MAX(Assumptions!$B$7,ROUNDUP(Assumptions!$B$3*Assumptions!$B$7*Assumptions!$B$8,0)),1))</f>
        <v>1000</v>
      </c>
      <c r="P33" s="6">
        <f>ROUNDUP(Assumptions!$B$2*Assumptions!$B$4*Assumptions!$B$5/J33,0)*K33*(1+L33)</f>
        <v>1100</v>
      </c>
      <c r="Q33" s="6">
        <f>ROUNDUP(Assumptions!$B$3*Assumptions!$B$4*Assumptions!$B$5/J33,0)*K33*(1+L33)</f>
        <v>11000</v>
      </c>
      <c r="R33" s="11">
        <f>P33*F33</f>
        <v>11.0</v>
      </c>
      <c r="S33" s="11">
        <f>Q33*F33</f>
        <v>110.0</v>
      </c>
      <c r="T33" s="6">
        <f>IF(D33="demand",P33*Assumptions!$B$17,ROUNDUP(N33/J33,0)*M33*K33*(1+L33))</f>
        <v>3000</v>
      </c>
      <c r="U33" s="6">
        <f>IF(D33="demand",Q33*Assumptions!$B$17,ROUNDUP(O33/J33,0)*M33*K33*(1+L33))</f>
        <v>30000</v>
      </c>
      <c r="V33" s="11">
        <f>T33*F33</f>
        <v>30.0</v>
      </c>
      <c r="W33" s="11">
        <f>U33*F33</f>
        <v>300.0</v>
      </c>
      <c r="X33" s="3" t="s">
        <v>714</v>
      </c>
      <c r="Y33" s="7" t="s">
        <v>715</v>
      </c>
    </row>
    <row r="34" spans="1:25" ht="62" customHeight="1">
      <c r="A34" s="3" t="s">
        <v>333</v>
      </c>
      <c r="B34" s="3" t="s">
        <v>324</v>
      </c>
      <c r="C34" s="3" t="s">
        <v>334</v>
      </c>
      <c r="D34" s="3" t="s">
        <v>64</v>
      </c>
      <c r="E34" s="3" t="s">
        <v>74</v>
      </c>
      <c r="F34" s="8">
        <v>0.02</v>
      </c>
      <c r="G34" s="9">
        <v>0</v>
      </c>
      <c r="H34" s="9">
        <v>0</v>
      </c>
      <c r="I34" s="9">
        <v>0</v>
      </c>
      <c r="J34" s="9">
        <v>1</v>
      </c>
      <c r="K34" s="9">
        <v>1</v>
      </c>
      <c r="L34" s="5">
        <v>0</v>
      </c>
      <c r="M34" s="6">
        <f>Profiles!D7</f>
        <v>30</v>
      </c>
      <c r="N34" s="10">
        <f>IF(H34&gt;0,H34,IF(D34="entity",MAX(Assumptions!$B$7,ROUNDUP(Assumptions!$B$2*Assumptions!$B$7*Assumptions!$B$8,0)),1))</f>
        <v>100</v>
      </c>
      <c r="O34" s="10">
        <f>IF(I34&gt;0,I34,IF(D34="entity",MAX(Assumptions!$B$7,ROUNDUP(Assumptions!$B$3*Assumptions!$B$7*Assumptions!$B$8,0)),1))</f>
        <v>1000</v>
      </c>
      <c r="P34" s="6">
        <f>ROUNDUP(Assumptions!$B$2*Assumptions!$B$4*Assumptions!$B$5/J34,0)*K34*(1+L34)</f>
        <v>1100</v>
      </c>
      <c r="Q34" s="6">
        <f>ROUNDUP(Assumptions!$B$3*Assumptions!$B$4*Assumptions!$B$5/J34,0)*K34*(1+L34)</f>
        <v>11000</v>
      </c>
      <c r="R34" s="11">
        <f>P34*F34</f>
        <v>22.0</v>
      </c>
      <c r="S34" s="11">
        <f>Q34*F34</f>
        <v>220.0</v>
      </c>
      <c r="T34" s="6">
        <f>IF(D34="demand",P34*Assumptions!$B$17,ROUNDUP(N34/J34,0)*M34*K34*(1+L34))</f>
        <v>3000</v>
      </c>
      <c r="U34" s="6">
        <f>IF(D34="demand",Q34*Assumptions!$B$17,ROUNDUP(O34/J34,0)*M34*K34*(1+L34))</f>
        <v>30000</v>
      </c>
      <c r="V34" s="11">
        <f>T34*F34</f>
        <v>60.0</v>
      </c>
      <c r="W34" s="11">
        <f>U34*F34</f>
        <v>600.0</v>
      </c>
      <c r="X34" s="3" t="s">
        <v>714</v>
      </c>
      <c r="Y34" s="7" t="s">
        <v>715</v>
      </c>
    </row>
    <row r="35" spans="1:25" ht="62" customHeight="1">
      <c r="A35" s="3" t="s">
        <v>536</v>
      </c>
      <c r="B35" s="3" t="s">
        <v>324</v>
      </c>
      <c r="C35" s="3" t="s">
        <v>537</v>
      </c>
      <c r="D35" s="3" t="s">
        <v>64</v>
      </c>
      <c r="E35" s="3" t="s">
        <v>70</v>
      </c>
      <c r="F35" s="8">
        <v>0.01</v>
      </c>
      <c r="G35" s="9">
        <v>0</v>
      </c>
      <c r="H35" s="9">
        <v>0</v>
      </c>
      <c r="I35" s="9">
        <v>0</v>
      </c>
      <c r="J35" s="9">
        <v>1</v>
      </c>
      <c r="K35" s="9">
        <v>1</v>
      </c>
      <c r="L35" s="5">
        <v>0</v>
      </c>
      <c r="M35" s="6">
        <f>Profiles!D5</f>
        <v>352</v>
      </c>
      <c r="N35" s="10">
        <f>IF(H35&gt;0,H35,IF(D35="entity",MAX(Assumptions!$B$7,ROUNDUP(Assumptions!$B$2*Assumptions!$B$7*Assumptions!$B$8,0)),1))</f>
        <v>100</v>
      </c>
      <c r="O35" s="10">
        <f>IF(I35&gt;0,I35,IF(D35="entity",MAX(Assumptions!$B$7,ROUNDUP(Assumptions!$B$3*Assumptions!$B$7*Assumptions!$B$8,0)),1))</f>
        <v>1000</v>
      </c>
      <c r="P35" s="6">
        <f>ROUNDUP(Assumptions!$B$2*Assumptions!$B$4*Assumptions!$B$5/J35,0)*K35*(1+L35)</f>
        <v>1100</v>
      </c>
      <c r="Q35" s="6">
        <f>ROUNDUP(Assumptions!$B$3*Assumptions!$B$4*Assumptions!$B$5/J35,0)*K35*(1+L35)</f>
        <v>11000</v>
      </c>
      <c r="R35" s="11">
        <f>P35*F35</f>
        <v>11.0</v>
      </c>
      <c r="S35" s="11">
        <f>Q35*F35</f>
        <v>110.0</v>
      </c>
      <c r="T35" s="6">
        <f>IF(D35="demand",P35*Assumptions!$B$17,ROUNDUP(N35/J35,0)*M35*K35*(1+L35))</f>
        <v>35200</v>
      </c>
      <c r="U35" s="6">
        <f>IF(D35="demand",Q35*Assumptions!$B$17,ROUNDUP(O35/J35,0)*M35*K35*(1+L35))</f>
        <v>352000</v>
      </c>
      <c r="V35" s="11">
        <f>T35*F35</f>
        <v>352.0</v>
      </c>
      <c r="W35" s="11">
        <f>U35*F35</f>
        <v>3520.0</v>
      </c>
      <c r="X35" s="3" t="s">
        <v>714</v>
      </c>
      <c r="Y35" s="7" t="s">
        <v>715</v>
      </c>
    </row>
    <row r="36" spans="1:25" ht="62" customHeight="1">
      <c r="A36" s="3" t="s">
        <v>341</v>
      </c>
      <c r="B36" s="3" t="s">
        <v>324</v>
      </c>
      <c r="C36" s="3" t="s">
        <v>342</v>
      </c>
      <c r="D36" s="3" t="s">
        <v>80</v>
      </c>
      <c r="E36" s="3" t="s">
        <v>78</v>
      </c>
      <c r="F36" s="8">
        <v>0.01</v>
      </c>
      <c r="G36" s="9">
        <v>0</v>
      </c>
      <c r="H36" s="9">
        <v>0</v>
      </c>
      <c r="I36" s="9">
        <v>0</v>
      </c>
      <c r="J36" s="9">
        <v>1</v>
      </c>
      <c r="K36" s="9">
        <v>1</v>
      </c>
      <c r="L36" s="5">
        <v>0</v>
      </c>
      <c r="M36" s="6">
        <f>Profiles!D9</f>
        <v>0</v>
      </c>
      <c r="N36" s="10">
        <f>IF(H36&gt;0,H36,IF(D36="entity",MAX(Assumptions!$B$7,ROUNDUP(Assumptions!$B$2*Assumptions!$B$7*Assumptions!$B$8,0)),1))</f>
        <v>1</v>
      </c>
      <c r="O36" s="10">
        <f>IF(I36&gt;0,I36,IF(D36="entity",MAX(Assumptions!$B$7,ROUNDUP(Assumptions!$B$3*Assumptions!$B$7*Assumptions!$B$8,0)),1))</f>
        <v>1</v>
      </c>
      <c r="P36" s="6">
        <f>ROUNDUP(Assumptions!$B$2*Assumptions!$B$4*Assumptions!$B$5/J36,0)*K36*(1+L36)</f>
        <v>1100</v>
      </c>
      <c r="Q36" s="6">
        <f>ROUNDUP(Assumptions!$B$3*Assumptions!$B$4*Assumptions!$B$5/J36,0)*K36*(1+L36)</f>
        <v>11000</v>
      </c>
      <c r="R36" s="11">
        <f>P36*F36</f>
        <v>11.0</v>
      </c>
      <c r="S36" s="11">
        <f>Q36*F36</f>
        <v>110.0</v>
      </c>
      <c r="T36" s="6">
        <f>IF(D36="demand",P36*Assumptions!$B$17,ROUNDUP(N36/J36,0)*M36*K36*(1+L36))</f>
        <v>550.0</v>
      </c>
      <c r="U36" s="6">
        <f>IF(D36="demand",Q36*Assumptions!$B$17,ROUNDUP(O36/J36,0)*M36*K36*(1+L36))</f>
        <v>5500.0</v>
      </c>
      <c r="V36" s="11">
        <f>T36*F36</f>
        <v>5.5</v>
      </c>
      <c r="W36" s="11">
        <f>U36*F36</f>
        <v>55.0</v>
      </c>
      <c r="X36" s="3" t="s">
        <v>714</v>
      </c>
      <c r="Y36" s="7" t="s">
        <v>715</v>
      </c>
    </row>
    <row r="37" spans="1:25" ht="62" customHeight="1">
      <c r="A37" s="3" t="s">
        <v>347</v>
      </c>
      <c r="B37" s="3" t="s">
        <v>324</v>
      </c>
      <c r="C37" s="3" t="s">
        <v>348</v>
      </c>
      <c r="D37" s="3" t="s">
        <v>64</v>
      </c>
      <c r="E37" s="3" t="s">
        <v>62</v>
      </c>
      <c r="F37" s="8">
        <v>0.01</v>
      </c>
      <c r="G37" s="9">
        <v>0</v>
      </c>
      <c r="H37" s="9">
        <v>0</v>
      </c>
      <c r="I37" s="9">
        <v>0</v>
      </c>
      <c r="J37" s="9">
        <v>1</v>
      </c>
      <c r="K37" s="9">
        <v>1</v>
      </c>
      <c r="L37" s="5">
        <v>0</v>
      </c>
      <c r="M37" s="6">
        <f>Profiles!D2</f>
        <v>1716</v>
      </c>
      <c r="N37" s="10">
        <f>IF(H37&gt;0,H37,IF(D37="entity",MAX(Assumptions!$B$7,ROUNDUP(Assumptions!$B$2*Assumptions!$B$7*Assumptions!$B$8,0)),1))</f>
        <v>100</v>
      </c>
      <c r="O37" s="10">
        <f>IF(I37&gt;0,I37,IF(D37="entity",MAX(Assumptions!$B$7,ROUNDUP(Assumptions!$B$3*Assumptions!$B$7*Assumptions!$B$8,0)),1))</f>
        <v>1000</v>
      </c>
      <c r="P37" s="6">
        <f>ROUNDUP(Assumptions!$B$2*Assumptions!$B$4*Assumptions!$B$5/J37,0)*K37*(1+L37)</f>
        <v>1100</v>
      </c>
      <c r="Q37" s="6">
        <f>ROUNDUP(Assumptions!$B$3*Assumptions!$B$4*Assumptions!$B$5/J37,0)*K37*(1+L37)</f>
        <v>11000</v>
      </c>
      <c r="R37" s="11">
        <f>P37*F37</f>
        <v>11.0</v>
      </c>
      <c r="S37" s="11">
        <f>Q37*F37</f>
        <v>110.0</v>
      </c>
      <c r="T37" s="6">
        <f>IF(D37="demand",P37*Assumptions!$B$17,ROUNDUP(N37/J37,0)*M37*K37*(1+L37))</f>
        <v>171600</v>
      </c>
      <c r="U37" s="6">
        <f>IF(D37="demand",Q37*Assumptions!$B$17,ROUNDUP(O37/J37,0)*M37*K37*(1+L37))</f>
        <v>1716000</v>
      </c>
      <c r="V37" s="11">
        <f>T37*F37</f>
        <v>1716.0</v>
      </c>
      <c r="W37" s="11">
        <f>U37*F37</f>
        <v>17160.0</v>
      </c>
      <c r="X37" s="3" t="s">
        <v>714</v>
      </c>
      <c r="Y37" s="7" t="s">
        <v>715</v>
      </c>
    </row>
    <row r="38" spans="1:25" ht="62" customHeight="1">
      <c r="A38" s="3" t="s">
        <v>353</v>
      </c>
      <c r="B38" s="3" t="s">
        <v>324</v>
      </c>
      <c r="C38" s="3" t="s">
        <v>354</v>
      </c>
      <c r="D38" s="3" t="s">
        <v>64</v>
      </c>
      <c r="E38" s="3" t="s">
        <v>74</v>
      </c>
      <c r="F38" s="8">
        <v>0.01</v>
      </c>
      <c r="G38" s="9">
        <v>0</v>
      </c>
      <c r="H38" s="9">
        <v>0</v>
      </c>
      <c r="I38" s="9">
        <v>0</v>
      </c>
      <c r="J38" s="9">
        <v>1</v>
      </c>
      <c r="K38" s="9">
        <v>1</v>
      </c>
      <c r="L38" s="5">
        <v>0</v>
      </c>
      <c r="M38" s="6">
        <f>Profiles!D7</f>
        <v>30</v>
      </c>
      <c r="N38" s="10">
        <f>IF(H38&gt;0,H38,IF(D38="entity",MAX(Assumptions!$B$7,ROUNDUP(Assumptions!$B$2*Assumptions!$B$7*Assumptions!$B$8,0)),1))</f>
        <v>100</v>
      </c>
      <c r="O38" s="10">
        <f>IF(I38&gt;0,I38,IF(D38="entity",MAX(Assumptions!$B$7,ROUNDUP(Assumptions!$B$3*Assumptions!$B$7*Assumptions!$B$8,0)),1))</f>
        <v>1000</v>
      </c>
      <c r="P38" s="6">
        <f>ROUNDUP(Assumptions!$B$2*Assumptions!$B$4*Assumptions!$B$5/J38,0)*K38*(1+L38)</f>
        <v>1100</v>
      </c>
      <c r="Q38" s="6">
        <f>ROUNDUP(Assumptions!$B$3*Assumptions!$B$4*Assumptions!$B$5/J38,0)*K38*(1+L38)</f>
        <v>11000</v>
      </c>
      <c r="R38" s="11">
        <f>P38*F38</f>
        <v>11.0</v>
      </c>
      <c r="S38" s="11">
        <f>Q38*F38</f>
        <v>110.0</v>
      </c>
      <c r="T38" s="6">
        <f>IF(D38="demand",P38*Assumptions!$B$17,ROUNDUP(N38/J38,0)*M38*K38*(1+L38))</f>
        <v>3000</v>
      </c>
      <c r="U38" s="6">
        <f>IF(D38="demand",Q38*Assumptions!$B$17,ROUNDUP(O38/J38,0)*M38*K38*(1+L38))</f>
        <v>30000</v>
      </c>
      <c r="V38" s="11">
        <f>T38*F38</f>
        <v>30.0</v>
      </c>
      <c r="W38" s="11">
        <f>U38*F38</f>
        <v>300.0</v>
      </c>
      <c r="X38" s="3" t="s">
        <v>714</v>
      </c>
      <c r="Y38" s="7" t="s">
        <v>715</v>
      </c>
    </row>
    <row r="39" spans="1:25" ht="62" customHeight="1">
      <c r="A39" s="3" t="s">
        <v>360</v>
      </c>
      <c r="B39" s="3" t="s">
        <v>324</v>
      </c>
      <c r="C39" s="3" t="s">
        <v>361</v>
      </c>
      <c r="D39" s="3" t="s">
        <v>64</v>
      </c>
      <c r="E39" s="3" t="s">
        <v>74</v>
      </c>
      <c r="F39" s="8">
        <v>0.01</v>
      </c>
      <c r="G39" s="9">
        <v>0</v>
      </c>
      <c r="H39" s="9">
        <v>0</v>
      </c>
      <c r="I39" s="9">
        <v>0</v>
      </c>
      <c r="J39" s="9">
        <v>1</v>
      </c>
      <c r="K39" s="9">
        <v>1</v>
      </c>
      <c r="L39" s="5">
        <v>0</v>
      </c>
      <c r="M39" s="6">
        <f>Profiles!D7</f>
        <v>30</v>
      </c>
      <c r="N39" s="10">
        <f>IF(H39&gt;0,H39,IF(D39="entity",MAX(Assumptions!$B$7,ROUNDUP(Assumptions!$B$2*Assumptions!$B$7*Assumptions!$B$8,0)),1))</f>
        <v>100</v>
      </c>
      <c r="O39" s="10">
        <f>IF(I39&gt;0,I39,IF(D39="entity",MAX(Assumptions!$B$7,ROUNDUP(Assumptions!$B$3*Assumptions!$B$7*Assumptions!$B$8,0)),1))</f>
        <v>1000</v>
      </c>
      <c r="P39" s="6">
        <f>ROUNDUP(Assumptions!$B$2*Assumptions!$B$4*Assumptions!$B$5/J39,0)*K39*(1+L39)</f>
        <v>1100</v>
      </c>
      <c r="Q39" s="6">
        <f>ROUNDUP(Assumptions!$B$3*Assumptions!$B$4*Assumptions!$B$5/J39,0)*K39*(1+L39)</f>
        <v>11000</v>
      </c>
      <c r="R39" s="11">
        <f>P39*F39</f>
        <v>11.0</v>
      </c>
      <c r="S39" s="11">
        <f>Q39*F39</f>
        <v>110.0</v>
      </c>
      <c r="T39" s="6">
        <f>IF(D39="demand",P39*Assumptions!$B$17,ROUNDUP(N39/J39,0)*M39*K39*(1+L39))</f>
        <v>3000</v>
      </c>
      <c r="U39" s="6">
        <f>IF(D39="demand",Q39*Assumptions!$B$17,ROUNDUP(O39/J39,0)*M39*K39*(1+L39))</f>
        <v>30000</v>
      </c>
      <c r="V39" s="11">
        <f>T39*F39</f>
        <v>30.0</v>
      </c>
      <c r="W39" s="11">
        <f>U39*F39</f>
        <v>300.0</v>
      </c>
      <c r="X39" s="3" t="s">
        <v>714</v>
      </c>
      <c r="Y39" s="7" t="s">
        <v>715</v>
      </c>
    </row>
    <row r="40" spans="1:25" ht="62" customHeight="1">
      <c r="A40" s="3" t="s">
        <v>367</v>
      </c>
      <c r="B40" s="3" t="s">
        <v>324</v>
      </c>
      <c r="C40" s="3" t="s">
        <v>368</v>
      </c>
      <c r="D40" s="3" t="s">
        <v>64</v>
      </c>
      <c r="E40" s="3" t="s">
        <v>74</v>
      </c>
      <c r="F40" s="8">
        <v>0.01</v>
      </c>
      <c r="G40" s="9">
        <v>0</v>
      </c>
      <c r="H40" s="9">
        <v>0</v>
      </c>
      <c r="I40" s="9">
        <v>0</v>
      </c>
      <c r="J40" s="9">
        <v>1</v>
      </c>
      <c r="K40" s="9">
        <v>1</v>
      </c>
      <c r="L40" s="5">
        <v>0</v>
      </c>
      <c r="M40" s="6">
        <f>Profiles!D7</f>
        <v>30</v>
      </c>
      <c r="N40" s="10">
        <f>IF(H40&gt;0,H40,IF(D40="entity",MAX(Assumptions!$B$7,ROUNDUP(Assumptions!$B$2*Assumptions!$B$7*Assumptions!$B$8,0)),1))</f>
        <v>100</v>
      </c>
      <c r="O40" s="10">
        <f>IF(I40&gt;0,I40,IF(D40="entity",MAX(Assumptions!$B$7,ROUNDUP(Assumptions!$B$3*Assumptions!$B$7*Assumptions!$B$8,0)),1))</f>
        <v>1000</v>
      </c>
      <c r="P40" s="6">
        <f>ROUNDUP(Assumptions!$B$2*Assumptions!$B$4*Assumptions!$B$5/J40,0)*K40*(1+L40)</f>
        <v>1100</v>
      </c>
      <c r="Q40" s="6">
        <f>ROUNDUP(Assumptions!$B$3*Assumptions!$B$4*Assumptions!$B$5/J40,0)*K40*(1+L40)</f>
        <v>11000</v>
      </c>
      <c r="R40" s="11">
        <f>P40*F40</f>
        <v>11.0</v>
      </c>
      <c r="S40" s="11">
        <f>Q40*F40</f>
        <v>110.0</v>
      </c>
      <c r="T40" s="6">
        <f>IF(D40="demand",P40*Assumptions!$B$17,ROUNDUP(N40/J40,0)*M40*K40*(1+L40))</f>
        <v>3000</v>
      </c>
      <c r="U40" s="6">
        <f>IF(D40="demand",Q40*Assumptions!$B$17,ROUNDUP(O40/J40,0)*M40*K40*(1+L40))</f>
        <v>30000</v>
      </c>
      <c r="V40" s="11">
        <f>T40*F40</f>
        <v>30.0</v>
      </c>
      <c r="W40" s="11">
        <f>U40*F40</f>
        <v>300.0</v>
      </c>
      <c r="X40" s="3" t="s">
        <v>714</v>
      </c>
      <c r="Y40" s="7" t="s">
        <v>715</v>
      </c>
    </row>
    <row r="41" spans="1:25" ht="62" customHeight="1">
      <c r="A41" s="3" t="s">
        <v>373</v>
      </c>
      <c r="B41" s="3" t="s">
        <v>324</v>
      </c>
      <c r="C41" s="3" t="s">
        <v>374</v>
      </c>
      <c r="D41" s="3" t="s">
        <v>64</v>
      </c>
      <c r="E41" s="3" t="s">
        <v>74</v>
      </c>
      <c r="F41" s="8">
        <v>0.01</v>
      </c>
      <c r="G41" s="9">
        <v>0</v>
      </c>
      <c r="H41" s="9">
        <v>0</v>
      </c>
      <c r="I41" s="9">
        <v>0</v>
      </c>
      <c r="J41" s="9">
        <v>1</v>
      </c>
      <c r="K41" s="9">
        <v>1</v>
      </c>
      <c r="L41" s="5">
        <v>0</v>
      </c>
      <c r="M41" s="6">
        <f>Profiles!D7</f>
        <v>30</v>
      </c>
      <c r="N41" s="10">
        <f>IF(H41&gt;0,H41,IF(D41="entity",MAX(Assumptions!$B$7,ROUNDUP(Assumptions!$B$2*Assumptions!$B$7*Assumptions!$B$8,0)),1))</f>
        <v>100</v>
      </c>
      <c r="O41" s="10">
        <f>IF(I41&gt;0,I41,IF(D41="entity",MAX(Assumptions!$B$7,ROUNDUP(Assumptions!$B$3*Assumptions!$B$7*Assumptions!$B$8,0)),1))</f>
        <v>1000</v>
      </c>
      <c r="P41" s="6">
        <f>ROUNDUP(Assumptions!$B$2*Assumptions!$B$4*Assumptions!$B$5/J41,0)*K41*(1+L41)</f>
        <v>1100</v>
      </c>
      <c r="Q41" s="6">
        <f>ROUNDUP(Assumptions!$B$3*Assumptions!$B$4*Assumptions!$B$5/J41,0)*K41*(1+L41)</f>
        <v>11000</v>
      </c>
      <c r="R41" s="11">
        <f>P41*F41</f>
        <v>11.0</v>
      </c>
      <c r="S41" s="11">
        <f>Q41*F41</f>
        <v>110.0</v>
      </c>
      <c r="T41" s="6">
        <f>IF(D41="demand",P41*Assumptions!$B$17,ROUNDUP(N41/J41,0)*M41*K41*(1+L41))</f>
        <v>3000</v>
      </c>
      <c r="U41" s="6">
        <f>IF(D41="demand",Q41*Assumptions!$B$17,ROUNDUP(O41/J41,0)*M41*K41*(1+L41))</f>
        <v>30000</v>
      </c>
      <c r="V41" s="11">
        <f>T41*F41</f>
        <v>30.0</v>
      </c>
      <c r="W41" s="11">
        <f>U41*F41</f>
        <v>300.0</v>
      </c>
      <c r="X41" s="3" t="s">
        <v>714</v>
      </c>
      <c r="Y41" s="7" t="s">
        <v>715</v>
      </c>
    </row>
    <row r="42" spans="1:25" ht="62" customHeight="1">
      <c r="A42" s="3" t="s">
        <v>381</v>
      </c>
      <c r="B42" s="3" t="s">
        <v>324</v>
      </c>
      <c r="C42" s="3" t="s">
        <v>382</v>
      </c>
      <c r="D42" s="3" t="s">
        <v>64</v>
      </c>
      <c r="E42" s="3" t="s">
        <v>68</v>
      </c>
      <c r="F42" s="8">
        <v>0.01</v>
      </c>
      <c r="G42" s="9">
        <v>0</v>
      </c>
      <c r="H42" s="9">
        <v>0</v>
      </c>
      <c r="I42" s="9">
        <v>0</v>
      </c>
      <c r="J42" s="9">
        <v>1</v>
      </c>
      <c r="K42" s="9">
        <v>1</v>
      </c>
      <c r="L42" s="5">
        <v>0</v>
      </c>
      <c r="M42" s="6">
        <f>Profiles!D4</f>
        <v>480</v>
      </c>
      <c r="N42" s="10">
        <f>IF(H42&gt;0,H42,IF(D42="entity",MAX(Assumptions!$B$7,ROUNDUP(Assumptions!$B$2*Assumptions!$B$7*Assumptions!$B$8,0)),1))</f>
        <v>100</v>
      </c>
      <c r="O42" s="10">
        <f>IF(I42&gt;0,I42,IF(D42="entity",MAX(Assumptions!$B$7,ROUNDUP(Assumptions!$B$3*Assumptions!$B$7*Assumptions!$B$8,0)),1))</f>
        <v>1000</v>
      </c>
      <c r="P42" s="6">
        <f>ROUNDUP(Assumptions!$B$2*Assumptions!$B$4*Assumptions!$B$5/J42,0)*K42*(1+L42)</f>
        <v>1100</v>
      </c>
      <c r="Q42" s="6">
        <f>ROUNDUP(Assumptions!$B$3*Assumptions!$B$4*Assumptions!$B$5/J42,0)*K42*(1+L42)</f>
        <v>11000</v>
      </c>
      <c r="R42" s="11">
        <f>P42*F42</f>
        <v>11.0</v>
      </c>
      <c r="S42" s="11">
        <f>Q42*F42</f>
        <v>110.0</v>
      </c>
      <c r="T42" s="6">
        <f>IF(D42="demand",P42*Assumptions!$B$17,ROUNDUP(N42/J42,0)*M42*K42*(1+L42))</f>
        <v>48000</v>
      </c>
      <c r="U42" s="6">
        <f>IF(D42="demand",Q42*Assumptions!$B$17,ROUNDUP(O42/J42,0)*M42*K42*(1+L42))</f>
        <v>480000</v>
      </c>
      <c r="V42" s="11">
        <f>T42*F42</f>
        <v>480.0</v>
      </c>
      <c r="W42" s="11">
        <f>U42*F42</f>
        <v>4800.0</v>
      </c>
      <c r="X42" s="3" t="s">
        <v>714</v>
      </c>
      <c r="Y42" s="7" t="s">
        <v>715</v>
      </c>
    </row>
    <row r="43" spans="1:25" ht="62" customHeight="1">
      <c r="A43" s="3" t="s">
        <v>387</v>
      </c>
      <c r="B43" s="3" t="s">
        <v>324</v>
      </c>
      <c r="C43" s="3" t="s">
        <v>388</v>
      </c>
      <c r="D43" s="3" t="s">
        <v>64</v>
      </c>
      <c r="E43" s="3" t="s">
        <v>74</v>
      </c>
      <c r="F43" s="8">
        <v>0.01</v>
      </c>
      <c r="G43" s="9">
        <v>0</v>
      </c>
      <c r="H43" s="9">
        <v>0</v>
      </c>
      <c r="I43" s="9">
        <v>0</v>
      </c>
      <c r="J43" s="9">
        <v>1</v>
      </c>
      <c r="K43" s="9">
        <v>1</v>
      </c>
      <c r="L43" s="5">
        <v>0</v>
      </c>
      <c r="M43" s="6">
        <f>Profiles!D7</f>
        <v>30</v>
      </c>
      <c r="N43" s="10">
        <f>IF(H43&gt;0,H43,IF(D43="entity",MAX(Assumptions!$B$7,ROUNDUP(Assumptions!$B$2*Assumptions!$B$7*Assumptions!$B$8,0)),1))</f>
        <v>100</v>
      </c>
      <c r="O43" s="10">
        <f>IF(I43&gt;0,I43,IF(D43="entity",MAX(Assumptions!$B$7,ROUNDUP(Assumptions!$B$3*Assumptions!$B$7*Assumptions!$B$8,0)),1))</f>
        <v>1000</v>
      </c>
      <c r="P43" s="6">
        <f>ROUNDUP(Assumptions!$B$2*Assumptions!$B$4*Assumptions!$B$5/J43,0)*K43*(1+L43)</f>
        <v>1100</v>
      </c>
      <c r="Q43" s="6">
        <f>ROUNDUP(Assumptions!$B$3*Assumptions!$B$4*Assumptions!$B$5/J43,0)*K43*(1+L43)</f>
        <v>11000</v>
      </c>
      <c r="R43" s="11">
        <f>P43*F43</f>
        <v>11.0</v>
      </c>
      <c r="S43" s="11">
        <f>Q43*F43</f>
        <v>110.0</v>
      </c>
      <c r="T43" s="6">
        <f>IF(D43="demand",P43*Assumptions!$B$17,ROUNDUP(N43/J43,0)*M43*K43*(1+L43))</f>
        <v>3000</v>
      </c>
      <c r="U43" s="6">
        <f>IF(D43="demand",Q43*Assumptions!$B$17,ROUNDUP(O43/J43,0)*M43*K43*(1+L43))</f>
        <v>30000</v>
      </c>
      <c r="V43" s="11">
        <f>T43*F43</f>
        <v>30.0</v>
      </c>
      <c r="W43" s="11">
        <f>U43*F43</f>
        <v>300.0</v>
      </c>
      <c r="X43" s="3" t="s">
        <v>714</v>
      </c>
      <c r="Y43" s="7" t="s">
        <v>715</v>
      </c>
    </row>
    <row r="44" spans="1:25" ht="62" customHeight="1">
      <c r="A44" s="3" t="s">
        <v>393</v>
      </c>
      <c r="B44" s="3" t="s">
        <v>324</v>
      </c>
      <c r="C44" s="3" t="s">
        <v>394</v>
      </c>
      <c r="D44" s="3" t="s">
        <v>64</v>
      </c>
      <c r="E44" s="3" t="s">
        <v>74</v>
      </c>
      <c r="F44" s="8">
        <v>0.01</v>
      </c>
      <c r="G44" s="9">
        <v>0</v>
      </c>
      <c r="H44" s="9">
        <v>0</v>
      </c>
      <c r="I44" s="9">
        <v>0</v>
      </c>
      <c r="J44" s="9">
        <v>1</v>
      </c>
      <c r="K44" s="9">
        <v>1</v>
      </c>
      <c r="L44" s="5">
        <v>0</v>
      </c>
      <c r="M44" s="6">
        <f>Profiles!D7</f>
        <v>30</v>
      </c>
      <c r="N44" s="10">
        <f>IF(H44&gt;0,H44,IF(D44="entity",MAX(Assumptions!$B$7,ROUNDUP(Assumptions!$B$2*Assumptions!$B$7*Assumptions!$B$8,0)),1))</f>
        <v>100</v>
      </c>
      <c r="O44" s="10">
        <f>IF(I44&gt;0,I44,IF(D44="entity",MAX(Assumptions!$B$7,ROUNDUP(Assumptions!$B$3*Assumptions!$B$7*Assumptions!$B$8,0)),1))</f>
        <v>1000</v>
      </c>
      <c r="P44" s="6">
        <f>ROUNDUP(Assumptions!$B$2*Assumptions!$B$4*Assumptions!$B$5/J44,0)*K44*(1+L44)</f>
        <v>1100</v>
      </c>
      <c r="Q44" s="6">
        <f>ROUNDUP(Assumptions!$B$3*Assumptions!$B$4*Assumptions!$B$5/J44,0)*K44*(1+L44)</f>
        <v>11000</v>
      </c>
      <c r="R44" s="11">
        <f>P44*F44</f>
        <v>11.0</v>
      </c>
      <c r="S44" s="11">
        <f>Q44*F44</f>
        <v>110.0</v>
      </c>
      <c r="T44" s="6">
        <f>IF(D44="demand",P44*Assumptions!$B$17,ROUNDUP(N44/J44,0)*M44*K44*(1+L44))</f>
        <v>3000</v>
      </c>
      <c r="U44" s="6">
        <f>IF(D44="demand",Q44*Assumptions!$B$17,ROUNDUP(O44/J44,0)*M44*K44*(1+L44))</f>
        <v>30000</v>
      </c>
      <c r="V44" s="11">
        <f>T44*F44</f>
        <v>30.0</v>
      </c>
      <c r="W44" s="11">
        <f>U44*F44</f>
        <v>300.0</v>
      </c>
      <c r="X44" s="3" t="s">
        <v>714</v>
      </c>
      <c r="Y44" s="7" t="s">
        <v>715</v>
      </c>
    </row>
    <row r="45" spans="1:25" ht="62" customHeight="1">
      <c r="A45" s="3" t="s">
        <v>399</v>
      </c>
      <c r="B45" s="3" t="s">
        <v>324</v>
      </c>
      <c r="C45" s="3" t="s">
        <v>400</v>
      </c>
      <c r="D45" s="3" t="s">
        <v>64</v>
      </c>
      <c r="E45" s="3" t="s">
        <v>74</v>
      </c>
      <c r="F45" s="8">
        <v>0.01</v>
      </c>
      <c r="G45" s="9">
        <v>0</v>
      </c>
      <c r="H45" s="9">
        <v>0</v>
      </c>
      <c r="I45" s="9">
        <v>0</v>
      </c>
      <c r="J45" s="9">
        <v>1</v>
      </c>
      <c r="K45" s="9">
        <v>1</v>
      </c>
      <c r="L45" s="5">
        <v>0</v>
      </c>
      <c r="M45" s="6">
        <f>Profiles!D7</f>
        <v>30</v>
      </c>
      <c r="N45" s="10">
        <f>IF(H45&gt;0,H45,IF(D45="entity",MAX(Assumptions!$B$7,ROUNDUP(Assumptions!$B$2*Assumptions!$B$7*Assumptions!$B$8,0)),1))</f>
        <v>100</v>
      </c>
      <c r="O45" s="10">
        <f>IF(I45&gt;0,I45,IF(D45="entity",MAX(Assumptions!$B$7,ROUNDUP(Assumptions!$B$3*Assumptions!$B$7*Assumptions!$B$8,0)),1))</f>
        <v>1000</v>
      </c>
      <c r="P45" s="6">
        <f>ROUNDUP(Assumptions!$B$2*Assumptions!$B$4*Assumptions!$B$5/J45,0)*K45*(1+L45)</f>
        <v>1100</v>
      </c>
      <c r="Q45" s="6">
        <f>ROUNDUP(Assumptions!$B$3*Assumptions!$B$4*Assumptions!$B$5/J45,0)*K45*(1+L45)</f>
        <v>11000</v>
      </c>
      <c r="R45" s="11">
        <f>P45*F45</f>
        <v>11.0</v>
      </c>
      <c r="S45" s="11">
        <f>Q45*F45</f>
        <v>110.0</v>
      </c>
      <c r="T45" s="6">
        <f>IF(D45="demand",P45*Assumptions!$B$17,ROUNDUP(N45/J45,0)*M45*K45*(1+L45))</f>
        <v>3000</v>
      </c>
      <c r="U45" s="6">
        <f>IF(D45="demand",Q45*Assumptions!$B$17,ROUNDUP(O45/J45,0)*M45*K45*(1+L45))</f>
        <v>30000</v>
      </c>
      <c r="V45" s="11">
        <f>T45*F45</f>
        <v>30.0</v>
      </c>
      <c r="W45" s="11">
        <f>U45*F45</f>
        <v>300.0</v>
      </c>
      <c r="X45" s="3" t="s">
        <v>714</v>
      </c>
      <c r="Y45" s="7" t="s">
        <v>715</v>
      </c>
    </row>
    <row r="46" spans="1:25" ht="62" customHeight="1">
      <c r="A46" s="3" t="s">
        <v>406</v>
      </c>
      <c r="B46" s="3" t="s">
        <v>407</v>
      </c>
      <c r="C46" s="3" t="s">
        <v>408</v>
      </c>
      <c r="D46" s="3" t="s">
        <v>67</v>
      </c>
      <c r="E46" s="3" t="s">
        <v>76</v>
      </c>
      <c r="F46" s="8">
        <v>0.01</v>
      </c>
      <c r="G46" s="9">
        <v>0</v>
      </c>
      <c r="H46" s="9">
        <v>0</v>
      </c>
      <c r="I46" s="9">
        <v>0</v>
      </c>
      <c r="J46" s="9">
        <v>1</v>
      </c>
      <c r="K46" s="9">
        <v>1</v>
      </c>
      <c r="L46" s="5">
        <v>0</v>
      </c>
      <c r="M46" s="6">
        <f>Profiles!D8</f>
        <v>30</v>
      </c>
      <c r="N46" s="10">
        <f>IF(H46&gt;0,H46,IF(D46="entity",MAX(Assumptions!$B$7,ROUNDUP(Assumptions!$B$2*Assumptions!$B$7*Assumptions!$B$8,0)),1))</f>
        <v>1</v>
      </c>
      <c r="O46" s="10">
        <f>IF(I46&gt;0,I46,IF(D46="entity",MAX(Assumptions!$B$7,ROUNDUP(Assumptions!$B$3*Assumptions!$B$7*Assumptions!$B$8,0)),1))</f>
        <v>1</v>
      </c>
      <c r="P46" s="6">
        <f>ROUNDUP(Assumptions!$B$2*Assumptions!$B$4*Assumptions!$B$5/J46,0)*K46*(1+L46)</f>
        <v>1100</v>
      </c>
      <c r="Q46" s="6">
        <f>ROUNDUP(Assumptions!$B$3*Assumptions!$B$4*Assumptions!$B$5/J46,0)*K46*(1+L46)</f>
        <v>11000</v>
      </c>
      <c r="R46" s="11">
        <f>P46*F46</f>
        <v>11.0</v>
      </c>
      <c r="S46" s="11">
        <f>Q46*F46</f>
        <v>110.0</v>
      </c>
      <c r="T46" s="6">
        <f>IF(D46="demand",P46*Assumptions!$B$17,ROUNDUP(N46/J46,0)*M46*K46*(1+L46))</f>
        <v>30</v>
      </c>
      <c r="U46" s="6">
        <f>IF(D46="demand",Q46*Assumptions!$B$17,ROUNDUP(O46/J46,0)*M46*K46*(1+L46))</f>
        <v>30</v>
      </c>
      <c r="V46" s="11">
        <f>T46*F46</f>
        <v>0.3</v>
      </c>
      <c r="W46" s="11">
        <f>U46*F46</f>
        <v>0.3</v>
      </c>
      <c r="X46" s="3" t="s">
        <v>714</v>
      </c>
      <c r="Y46" s="7" t="s">
        <v>715</v>
      </c>
    </row>
    <row r="47" spans="1:25" ht="62" customHeight="1">
      <c r="A47" s="3" t="s">
        <v>418</v>
      </c>
      <c r="B47" s="3" t="s">
        <v>407</v>
      </c>
      <c r="C47" s="3" t="s">
        <v>342</v>
      </c>
      <c r="D47" s="3" t="s">
        <v>80</v>
      </c>
      <c r="E47" s="3" t="s">
        <v>78</v>
      </c>
      <c r="F47" s="8">
        <v>0.01</v>
      </c>
      <c r="G47" s="9">
        <v>0</v>
      </c>
      <c r="H47" s="9">
        <v>0</v>
      </c>
      <c r="I47" s="9">
        <v>0</v>
      </c>
      <c r="J47" s="9">
        <v>1</v>
      </c>
      <c r="K47" s="9">
        <v>1</v>
      </c>
      <c r="L47" s="5">
        <v>0</v>
      </c>
      <c r="M47" s="6">
        <f>Profiles!D9</f>
        <v>0</v>
      </c>
      <c r="N47" s="10">
        <f>IF(H47&gt;0,H47,IF(D47="entity",MAX(Assumptions!$B$7,ROUNDUP(Assumptions!$B$2*Assumptions!$B$7*Assumptions!$B$8,0)),1))</f>
        <v>1</v>
      </c>
      <c r="O47" s="10">
        <f>IF(I47&gt;0,I47,IF(D47="entity",MAX(Assumptions!$B$7,ROUNDUP(Assumptions!$B$3*Assumptions!$B$7*Assumptions!$B$8,0)),1))</f>
        <v>1</v>
      </c>
      <c r="P47" s="6">
        <f>ROUNDUP(Assumptions!$B$2*Assumptions!$B$4*Assumptions!$B$5/J47,0)*K47*(1+L47)</f>
        <v>1100</v>
      </c>
      <c r="Q47" s="6">
        <f>ROUNDUP(Assumptions!$B$3*Assumptions!$B$4*Assumptions!$B$5/J47,0)*K47*(1+L47)</f>
        <v>11000</v>
      </c>
      <c r="R47" s="11">
        <f>P47*F47</f>
        <v>11.0</v>
      </c>
      <c r="S47" s="11">
        <f>Q47*F47</f>
        <v>110.0</v>
      </c>
      <c r="T47" s="6">
        <f>IF(D47="demand",P47*Assumptions!$B$17,ROUNDUP(N47/J47,0)*M47*K47*(1+L47))</f>
        <v>550.0</v>
      </c>
      <c r="U47" s="6">
        <f>IF(D47="demand",Q47*Assumptions!$B$17,ROUNDUP(O47/J47,0)*M47*K47*(1+L47))</f>
        <v>5500.0</v>
      </c>
      <c r="V47" s="11">
        <f>T47*F47</f>
        <v>5.5</v>
      </c>
      <c r="W47" s="11">
        <f>U47*F47</f>
        <v>55.0</v>
      </c>
      <c r="X47" s="3" t="s">
        <v>714</v>
      </c>
      <c r="Y47" s="7" t="s">
        <v>715</v>
      </c>
    </row>
    <row r="48" spans="1:25" ht="62" customHeight="1">
      <c r="A48" s="3" t="s">
        <v>423</v>
      </c>
      <c r="B48" s="3" t="s">
        <v>407</v>
      </c>
      <c r="C48" s="3" t="s">
        <v>424</v>
      </c>
      <c r="D48" s="3" t="s">
        <v>64</v>
      </c>
      <c r="E48" s="3" t="s">
        <v>74</v>
      </c>
      <c r="F48" s="8">
        <v>0.01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5">
        <v>0</v>
      </c>
      <c r="M48" s="6">
        <f>Profiles!D7</f>
        <v>30</v>
      </c>
      <c r="N48" s="10">
        <f>IF(H48&gt;0,H48,IF(D48="entity",MAX(Assumptions!$B$7,ROUNDUP(Assumptions!$B$2*Assumptions!$B$7*Assumptions!$B$8,0)),1))</f>
        <v>100</v>
      </c>
      <c r="O48" s="10">
        <f>IF(I48&gt;0,I48,IF(D48="entity",MAX(Assumptions!$B$7,ROUNDUP(Assumptions!$B$3*Assumptions!$B$7*Assumptions!$B$8,0)),1))</f>
        <v>1000</v>
      </c>
      <c r="P48" s="6">
        <f>ROUNDUP(Assumptions!$B$2*Assumptions!$B$4*Assumptions!$B$5/J48,0)*K48*(1+L48)</f>
        <v>1100</v>
      </c>
      <c r="Q48" s="6">
        <f>ROUNDUP(Assumptions!$B$3*Assumptions!$B$4*Assumptions!$B$5/J48,0)*K48*(1+L48)</f>
        <v>11000</v>
      </c>
      <c r="R48" s="11">
        <f>P48*F48</f>
        <v>11.0</v>
      </c>
      <c r="S48" s="11">
        <f>Q48*F48</f>
        <v>110.0</v>
      </c>
      <c r="T48" s="6">
        <f>IF(D48="demand",P48*Assumptions!$B$17,ROUNDUP(N48/J48,0)*M48*K48*(1+L48))</f>
        <v>3000</v>
      </c>
      <c r="U48" s="6">
        <f>IF(D48="demand",Q48*Assumptions!$B$17,ROUNDUP(O48/J48,0)*M48*K48*(1+L48))</f>
        <v>30000</v>
      </c>
      <c r="V48" s="11">
        <f>T48*F48</f>
        <v>30.0</v>
      </c>
      <c r="W48" s="11">
        <f>U48*F48</f>
        <v>300.0</v>
      </c>
      <c r="X48" s="3" t="s">
        <v>714</v>
      </c>
      <c r="Y48" s="7" t="s">
        <v>715</v>
      </c>
    </row>
    <row r="49" spans="1:25" ht="62" customHeight="1">
      <c r="A49" s="3" t="s">
        <v>429</v>
      </c>
      <c r="B49" s="3" t="s">
        <v>407</v>
      </c>
      <c r="C49" s="3" t="s">
        <v>430</v>
      </c>
      <c r="D49" s="3" t="s">
        <v>67</v>
      </c>
      <c r="E49" s="3" t="s">
        <v>85</v>
      </c>
      <c r="F49" s="8">
        <v>0.01</v>
      </c>
      <c r="G49" s="9">
        <v>0</v>
      </c>
      <c r="H49" s="9">
        <v>0</v>
      </c>
      <c r="I49" s="9">
        <v>0</v>
      </c>
      <c r="J49" s="9">
        <v>1</v>
      </c>
      <c r="K49" s="9">
        <v>1</v>
      </c>
      <c r="L49" s="5">
        <v>0</v>
      </c>
      <c r="M49" s="6">
        <f>Profiles!D12</f>
        <v>1452</v>
      </c>
      <c r="N49" s="10">
        <f>IF(H49&gt;0,H49,IF(D49="entity",MAX(Assumptions!$B$7,ROUNDUP(Assumptions!$B$2*Assumptions!$B$7*Assumptions!$B$8,0)),1))</f>
        <v>1</v>
      </c>
      <c r="O49" s="10">
        <f>IF(I49&gt;0,I49,IF(D49="entity",MAX(Assumptions!$B$7,ROUNDUP(Assumptions!$B$3*Assumptions!$B$7*Assumptions!$B$8,0)),1))</f>
        <v>1</v>
      </c>
      <c r="P49" s="6">
        <f>ROUNDUP(Assumptions!$B$2*Assumptions!$B$4*Assumptions!$B$5/J49,0)*K49*(1+L49)</f>
        <v>1100</v>
      </c>
      <c r="Q49" s="6">
        <f>ROUNDUP(Assumptions!$B$3*Assumptions!$B$4*Assumptions!$B$5/J49,0)*K49*(1+L49)</f>
        <v>11000</v>
      </c>
      <c r="R49" s="11">
        <f>P49*F49</f>
        <v>11.0</v>
      </c>
      <c r="S49" s="11">
        <f>Q49*F49</f>
        <v>110.0</v>
      </c>
      <c r="T49" s="6">
        <f>IF(D49="demand",P49*Assumptions!$B$17,ROUNDUP(N49/J49,0)*M49*K49*(1+L49))</f>
        <v>1452</v>
      </c>
      <c r="U49" s="6">
        <f>IF(D49="demand",Q49*Assumptions!$B$17,ROUNDUP(O49/J49,0)*M49*K49*(1+L49))</f>
        <v>1452</v>
      </c>
      <c r="V49" s="11">
        <f>T49*F49</f>
        <v>14.52</v>
      </c>
      <c r="W49" s="11">
        <f>U49*F49</f>
        <v>14.52</v>
      </c>
      <c r="X49" s="3" t="s">
        <v>714</v>
      </c>
      <c r="Y49" s="7" t="s">
        <v>715</v>
      </c>
    </row>
    <row r="50" spans="1:25" ht="62" customHeight="1">
      <c r="A50" s="3" t="s">
        <v>436</v>
      </c>
      <c r="B50" s="3" t="s">
        <v>407</v>
      </c>
      <c r="C50" s="3" t="s">
        <v>437</v>
      </c>
      <c r="D50" s="3" t="s">
        <v>64</v>
      </c>
      <c r="E50" s="3" t="s">
        <v>74</v>
      </c>
      <c r="F50" s="8">
        <v>0.01</v>
      </c>
      <c r="G50" s="9">
        <v>0</v>
      </c>
      <c r="H50" s="9">
        <v>0</v>
      </c>
      <c r="I50" s="9">
        <v>0</v>
      </c>
      <c r="J50" s="9">
        <v>1</v>
      </c>
      <c r="K50" s="9">
        <v>1</v>
      </c>
      <c r="L50" s="5">
        <v>0</v>
      </c>
      <c r="M50" s="6">
        <f>Profiles!D7</f>
        <v>30</v>
      </c>
      <c r="N50" s="10">
        <f>IF(H50&gt;0,H50,IF(D50="entity",MAX(Assumptions!$B$7,ROUNDUP(Assumptions!$B$2*Assumptions!$B$7*Assumptions!$B$8,0)),1))</f>
        <v>100</v>
      </c>
      <c r="O50" s="10">
        <f>IF(I50&gt;0,I50,IF(D50="entity",MAX(Assumptions!$B$7,ROUNDUP(Assumptions!$B$3*Assumptions!$B$7*Assumptions!$B$8,0)),1))</f>
        <v>1000</v>
      </c>
      <c r="P50" s="6">
        <f>ROUNDUP(Assumptions!$B$2*Assumptions!$B$4*Assumptions!$B$5/J50,0)*K50*(1+L50)</f>
        <v>1100</v>
      </c>
      <c r="Q50" s="6">
        <f>ROUNDUP(Assumptions!$B$3*Assumptions!$B$4*Assumptions!$B$5/J50,0)*K50*(1+L50)</f>
        <v>11000</v>
      </c>
      <c r="R50" s="11">
        <f>P50*F50</f>
        <v>11.0</v>
      </c>
      <c r="S50" s="11">
        <f>Q50*F50</f>
        <v>110.0</v>
      </c>
      <c r="T50" s="6">
        <f>IF(D50="demand",P50*Assumptions!$B$17,ROUNDUP(N50/J50,0)*M50*K50*(1+L50))</f>
        <v>3000</v>
      </c>
      <c r="U50" s="6">
        <f>IF(D50="demand",Q50*Assumptions!$B$17,ROUNDUP(O50/J50,0)*M50*K50*(1+L50))</f>
        <v>30000</v>
      </c>
      <c r="V50" s="11">
        <f>T50*F50</f>
        <v>30.0</v>
      </c>
      <c r="W50" s="11">
        <f>U50*F50</f>
        <v>300.0</v>
      </c>
      <c r="X50" s="3" t="s">
        <v>714</v>
      </c>
      <c r="Y50" s="7" t="s">
        <v>715</v>
      </c>
    </row>
    <row r="51" spans="1:25" ht="62" customHeight="1">
      <c r="A51" s="3" t="s">
        <v>442</v>
      </c>
      <c r="B51" s="3" t="s">
        <v>407</v>
      </c>
      <c r="C51" s="3" t="s">
        <v>443</v>
      </c>
      <c r="D51" s="3" t="s">
        <v>67</v>
      </c>
      <c r="E51" s="3" t="s">
        <v>76</v>
      </c>
      <c r="F51" s="8">
        <v>0.01</v>
      </c>
      <c r="G51" s="9">
        <v>0</v>
      </c>
      <c r="H51" s="9">
        <v>0</v>
      </c>
      <c r="I51" s="9">
        <v>0</v>
      </c>
      <c r="J51" s="9">
        <v>1</v>
      </c>
      <c r="K51" s="9">
        <v>1</v>
      </c>
      <c r="L51" s="5">
        <v>0</v>
      </c>
      <c r="M51" s="6">
        <f>Profiles!D8</f>
        <v>30</v>
      </c>
      <c r="N51" s="10">
        <f>IF(H51&gt;0,H51,IF(D51="entity",MAX(Assumptions!$B$7,ROUNDUP(Assumptions!$B$2*Assumptions!$B$7*Assumptions!$B$8,0)),1))</f>
        <v>1</v>
      </c>
      <c r="O51" s="10">
        <f>IF(I51&gt;0,I51,IF(D51="entity",MAX(Assumptions!$B$7,ROUNDUP(Assumptions!$B$3*Assumptions!$B$7*Assumptions!$B$8,0)),1))</f>
        <v>1</v>
      </c>
      <c r="P51" s="6">
        <f>ROUNDUP(Assumptions!$B$2*Assumptions!$B$4*Assumptions!$B$5/J51,0)*K51*(1+L51)</f>
        <v>1100</v>
      </c>
      <c r="Q51" s="6">
        <f>ROUNDUP(Assumptions!$B$3*Assumptions!$B$4*Assumptions!$B$5/J51,0)*K51*(1+L51)</f>
        <v>11000</v>
      </c>
      <c r="R51" s="11">
        <f>P51*F51</f>
        <v>11.0</v>
      </c>
      <c r="S51" s="11">
        <f>Q51*F51</f>
        <v>110.0</v>
      </c>
      <c r="T51" s="6">
        <f>IF(D51="demand",P51*Assumptions!$B$17,ROUNDUP(N51/J51,0)*M51*K51*(1+L51))</f>
        <v>30</v>
      </c>
      <c r="U51" s="6">
        <f>IF(D51="demand",Q51*Assumptions!$B$17,ROUNDUP(O51/J51,0)*M51*K51*(1+L51))</f>
        <v>30</v>
      </c>
      <c r="V51" s="11">
        <f>T51*F51</f>
        <v>0.3</v>
      </c>
      <c r="W51" s="11">
        <f>U51*F51</f>
        <v>0.3</v>
      </c>
      <c r="X51" s="3" t="s">
        <v>714</v>
      </c>
      <c r="Y51" s="7" t="s">
        <v>715</v>
      </c>
    </row>
    <row r="52" spans="1:25" ht="62" customHeight="1">
      <c r="A52" s="3" t="s">
        <v>448</v>
      </c>
      <c r="B52" s="3" t="s">
        <v>407</v>
      </c>
      <c r="C52" s="3" t="s">
        <v>354</v>
      </c>
      <c r="D52" s="3" t="s">
        <v>64</v>
      </c>
      <c r="E52" s="3" t="s">
        <v>62</v>
      </c>
      <c r="F52" s="8">
        <v>0.01</v>
      </c>
      <c r="G52" s="9">
        <v>0</v>
      </c>
      <c r="H52" s="9">
        <v>0</v>
      </c>
      <c r="I52" s="9">
        <v>0</v>
      </c>
      <c r="J52" s="9">
        <v>1</v>
      </c>
      <c r="K52" s="9">
        <v>1</v>
      </c>
      <c r="L52" s="5">
        <v>0</v>
      </c>
      <c r="M52" s="6">
        <f>Profiles!D2</f>
        <v>1716</v>
      </c>
      <c r="N52" s="10">
        <f>IF(H52&gt;0,H52,IF(D52="entity",MAX(Assumptions!$B$7,ROUNDUP(Assumptions!$B$2*Assumptions!$B$7*Assumptions!$B$8,0)),1))</f>
        <v>100</v>
      </c>
      <c r="O52" s="10">
        <f>IF(I52&gt;0,I52,IF(D52="entity",MAX(Assumptions!$B$7,ROUNDUP(Assumptions!$B$3*Assumptions!$B$7*Assumptions!$B$8,0)),1))</f>
        <v>1000</v>
      </c>
      <c r="P52" s="6">
        <f>ROUNDUP(Assumptions!$B$2*Assumptions!$B$4*Assumptions!$B$5/J52,0)*K52*(1+L52)</f>
        <v>1100</v>
      </c>
      <c r="Q52" s="6">
        <f>ROUNDUP(Assumptions!$B$3*Assumptions!$B$4*Assumptions!$B$5/J52,0)*K52*(1+L52)</f>
        <v>11000</v>
      </c>
      <c r="R52" s="11">
        <f>P52*F52</f>
        <v>11.0</v>
      </c>
      <c r="S52" s="11">
        <f>Q52*F52</f>
        <v>110.0</v>
      </c>
      <c r="T52" s="6">
        <f>IF(D52="demand",P52*Assumptions!$B$17,ROUNDUP(N52/J52,0)*M52*K52*(1+L52))</f>
        <v>171600</v>
      </c>
      <c r="U52" s="6">
        <f>IF(D52="demand",Q52*Assumptions!$B$17,ROUNDUP(O52/J52,0)*M52*K52*(1+L52))</f>
        <v>1716000</v>
      </c>
      <c r="V52" s="11">
        <f>T52*F52</f>
        <v>1716.0</v>
      </c>
      <c r="W52" s="11">
        <f>U52*F52</f>
        <v>17160.0</v>
      </c>
      <c r="X52" s="3" t="s">
        <v>714</v>
      </c>
      <c r="Y52" s="7" t="s">
        <v>715</v>
      </c>
    </row>
    <row r="53" spans="1:25" ht="62" customHeight="1">
      <c r="A53" s="3" t="s">
        <v>455</v>
      </c>
      <c r="B53" s="3" t="s">
        <v>456</v>
      </c>
      <c r="C53" s="3" t="s">
        <v>457</v>
      </c>
      <c r="D53" s="3" t="s">
        <v>64</v>
      </c>
      <c r="E53" s="3" t="s">
        <v>74</v>
      </c>
      <c r="F53" s="8">
        <v>0.0005999999999999999</v>
      </c>
      <c r="G53" s="9">
        <v>0</v>
      </c>
      <c r="H53" s="9">
        <v>0</v>
      </c>
      <c r="I53" s="9">
        <v>0</v>
      </c>
      <c r="J53" s="9">
        <v>1</v>
      </c>
      <c r="K53" s="9">
        <v>1</v>
      </c>
      <c r="L53" s="5">
        <v>0</v>
      </c>
      <c r="M53" s="6">
        <f>Profiles!D7</f>
        <v>30</v>
      </c>
      <c r="N53" s="10">
        <f>IF(H53&gt;0,H53,IF(D53="entity",MAX(Assumptions!$B$7,ROUNDUP(Assumptions!$B$2*Assumptions!$B$7*Assumptions!$B$8,0)),1))</f>
        <v>100</v>
      </c>
      <c r="O53" s="10">
        <f>IF(I53&gt;0,I53,IF(D53="entity",MAX(Assumptions!$B$7,ROUNDUP(Assumptions!$B$3*Assumptions!$B$7*Assumptions!$B$8,0)),1))</f>
        <v>1000</v>
      </c>
      <c r="P53" s="6">
        <f>ROUNDUP(Assumptions!$B$2*Assumptions!$B$4*Assumptions!$B$5/J53,0)*K53*(1+L53)</f>
        <v>1100</v>
      </c>
      <c r="Q53" s="6">
        <f>ROUNDUP(Assumptions!$B$3*Assumptions!$B$4*Assumptions!$B$5/J53,0)*K53*(1+L53)</f>
        <v>11000</v>
      </c>
      <c r="R53" s="11">
        <f>P53*F53</f>
        <v>0.6599999999999999</v>
      </c>
      <c r="S53" s="11">
        <f>Q53*F53</f>
        <v>6.6</v>
      </c>
      <c r="T53" s="6">
        <f>IF(D53="demand",P53*Assumptions!$B$17,ROUNDUP(N53/J53,0)*M53*K53*(1+L53))</f>
        <v>3000</v>
      </c>
      <c r="U53" s="6">
        <f>IF(D53="demand",Q53*Assumptions!$B$17,ROUNDUP(O53/J53,0)*M53*K53*(1+L53))</f>
        <v>30000</v>
      </c>
      <c r="V53" s="11">
        <f>T53*F53</f>
        <v>1.7999999999999998</v>
      </c>
      <c r="W53" s="11">
        <f>U53*F53</f>
        <v>18.0</v>
      </c>
      <c r="X53" s="3" t="s">
        <v>714</v>
      </c>
      <c r="Y53" s="7" t="s">
        <v>715</v>
      </c>
    </row>
    <row r="54" spans="1:25" ht="62" customHeight="1">
      <c r="A54" s="3" t="s">
        <v>465</v>
      </c>
      <c r="B54" s="3" t="s">
        <v>456</v>
      </c>
      <c r="C54" s="3" t="s">
        <v>466</v>
      </c>
      <c r="D54" s="3" t="s">
        <v>64</v>
      </c>
      <c r="E54" s="3" t="s">
        <v>70</v>
      </c>
      <c r="F54" s="8">
        <v>0.0005999999999999999</v>
      </c>
      <c r="G54" s="9">
        <v>0</v>
      </c>
      <c r="H54" s="9">
        <v>0</v>
      </c>
      <c r="I54" s="9">
        <v>0</v>
      </c>
      <c r="J54" s="9">
        <v>1</v>
      </c>
      <c r="K54" s="9">
        <v>1</v>
      </c>
      <c r="L54" s="5">
        <v>0</v>
      </c>
      <c r="M54" s="6">
        <f>Profiles!D5</f>
        <v>352</v>
      </c>
      <c r="N54" s="10">
        <f>IF(H54&gt;0,H54,IF(D54="entity",MAX(Assumptions!$B$7,ROUNDUP(Assumptions!$B$2*Assumptions!$B$7*Assumptions!$B$8,0)),1))</f>
        <v>100</v>
      </c>
      <c r="O54" s="10">
        <f>IF(I54&gt;0,I54,IF(D54="entity",MAX(Assumptions!$B$7,ROUNDUP(Assumptions!$B$3*Assumptions!$B$7*Assumptions!$B$8,0)),1))</f>
        <v>1000</v>
      </c>
      <c r="P54" s="6">
        <f>ROUNDUP(Assumptions!$B$2*Assumptions!$B$4*Assumptions!$B$5/J54,0)*K54*(1+L54)</f>
        <v>1100</v>
      </c>
      <c r="Q54" s="6">
        <f>ROUNDUP(Assumptions!$B$3*Assumptions!$B$4*Assumptions!$B$5/J54,0)*K54*(1+L54)</f>
        <v>11000</v>
      </c>
      <c r="R54" s="11">
        <f>P54*F54</f>
        <v>0.6599999999999999</v>
      </c>
      <c r="S54" s="11">
        <f>Q54*F54</f>
        <v>6.6</v>
      </c>
      <c r="T54" s="6">
        <f>IF(D54="demand",P54*Assumptions!$B$17,ROUNDUP(N54/J54,0)*M54*K54*(1+L54))</f>
        <v>35200</v>
      </c>
      <c r="U54" s="6">
        <f>IF(D54="demand",Q54*Assumptions!$B$17,ROUNDUP(O54/J54,0)*M54*K54*(1+L54))</f>
        <v>352000</v>
      </c>
      <c r="V54" s="11">
        <f>T54*F54</f>
        <v>21.119999999999997</v>
      </c>
      <c r="W54" s="11">
        <f>U54*F54</f>
        <v>211.2</v>
      </c>
      <c r="X54" s="3" t="s">
        <v>714</v>
      </c>
      <c r="Y54" s="7" t="s">
        <v>715</v>
      </c>
    </row>
    <row r="55" spans="1:25" ht="62" customHeight="1">
      <c r="A55" s="3" t="s">
        <v>472</v>
      </c>
      <c r="B55" s="3" t="s">
        <v>456</v>
      </c>
      <c r="C55" s="3" t="s">
        <v>473</v>
      </c>
      <c r="D55" s="3" t="s">
        <v>64</v>
      </c>
      <c r="E55" s="3" t="s">
        <v>62</v>
      </c>
      <c r="F55" s="8">
        <v>0.0005999999999999999</v>
      </c>
      <c r="G55" s="9">
        <v>0</v>
      </c>
      <c r="H55" s="9">
        <v>0</v>
      </c>
      <c r="I55" s="9">
        <v>0</v>
      </c>
      <c r="J55" s="9">
        <v>1</v>
      </c>
      <c r="K55" s="9">
        <v>1</v>
      </c>
      <c r="L55" s="5">
        <v>0</v>
      </c>
      <c r="M55" s="6">
        <f>Profiles!D2</f>
        <v>1716</v>
      </c>
      <c r="N55" s="10">
        <f>IF(H55&gt;0,H55,IF(D55="entity",MAX(Assumptions!$B$7,ROUNDUP(Assumptions!$B$2*Assumptions!$B$7*Assumptions!$B$8,0)),1))</f>
        <v>100</v>
      </c>
      <c r="O55" s="10">
        <f>IF(I55&gt;0,I55,IF(D55="entity",MAX(Assumptions!$B$7,ROUNDUP(Assumptions!$B$3*Assumptions!$B$7*Assumptions!$B$8,0)),1))</f>
        <v>1000</v>
      </c>
      <c r="P55" s="6">
        <f>ROUNDUP(Assumptions!$B$2*Assumptions!$B$4*Assumptions!$B$5/J55,0)*K55*(1+L55)</f>
        <v>1100</v>
      </c>
      <c r="Q55" s="6">
        <f>ROUNDUP(Assumptions!$B$3*Assumptions!$B$4*Assumptions!$B$5/J55,0)*K55*(1+L55)</f>
        <v>11000</v>
      </c>
      <c r="R55" s="11">
        <f>P55*F55</f>
        <v>0.6599999999999999</v>
      </c>
      <c r="S55" s="11">
        <f>Q55*F55</f>
        <v>6.6</v>
      </c>
      <c r="T55" s="6">
        <f>IF(D55="demand",P55*Assumptions!$B$17,ROUNDUP(N55/J55,0)*M55*K55*(1+L55))</f>
        <v>171600</v>
      </c>
      <c r="U55" s="6">
        <f>IF(D55="demand",Q55*Assumptions!$B$17,ROUNDUP(O55/J55,0)*M55*K55*(1+L55))</f>
        <v>1716000</v>
      </c>
      <c r="V55" s="11">
        <f>T55*F55</f>
        <v>102.96</v>
      </c>
      <c r="W55" s="11">
        <f>U55*F55</f>
        <v>1029.6</v>
      </c>
      <c r="X55" s="3" t="s">
        <v>714</v>
      </c>
      <c r="Y55" s="7" t="s">
        <v>715</v>
      </c>
    </row>
    <row r="56" spans="1:25" ht="62" customHeight="1">
      <c r="A56" s="3" t="s">
        <v>478</v>
      </c>
      <c r="B56" s="3" t="s">
        <v>456</v>
      </c>
      <c r="C56" s="3" t="s">
        <v>479</v>
      </c>
      <c r="D56" s="3" t="s">
        <v>64</v>
      </c>
      <c r="E56" s="3" t="s">
        <v>74</v>
      </c>
      <c r="F56" s="8">
        <v>0.0005999999999999999</v>
      </c>
      <c r="G56" s="9">
        <v>0</v>
      </c>
      <c r="H56" s="9">
        <v>0</v>
      </c>
      <c r="I56" s="9">
        <v>0</v>
      </c>
      <c r="J56" s="9">
        <v>1</v>
      </c>
      <c r="K56" s="9">
        <v>1</v>
      </c>
      <c r="L56" s="5">
        <v>0</v>
      </c>
      <c r="M56" s="6">
        <f>Profiles!D7</f>
        <v>30</v>
      </c>
      <c r="N56" s="10">
        <f>IF(H56&gt;0,H56,IF(D56="entity",MAX(Assumptions!$B$7,ROUNDUP(Assumptions!$B$2*Assumptions!$B$7*Assumptions!$B$8,0)),1))</f>
        <v>100</v>
      </c>
      <c r="O56" s="10">
        <f>IF(I56&gt;0,I56,IF(D56="entity",MAX(Assumptions!$B$7,ROUNDUP(Assumptions!$B$3*Assumptions!$B$7*Assumptions!$B$8,0)),1))</f>
        <v>1000</v>
      </c>
      <c r="P56" s="6">
        <f>ROUNDUP(Assumptions!$B$2*Assumptions!$B$4*Assumptions!$B$5/J56,0)*K56*(1+L56)</f>
        <v>1100</v>
      </c>
      <c r="Q56" s="6">
        <f>ROUNDUP(Assumptions!$B$3*Assumptions!$B$4*Assumptions!$B$5/J56,0)*K56*(1+L56)</f>
        <v>11000</v>
      </c>
      <c r="R56" s="11">
        <f>P56*F56</f>
        <v>0.6599999999999999</v>
      </c>
      <c r="S56" s="11">
        <f>Q56*F56</f>
        <v>6.6</v>
      </c>
      <c r="T56" s="6">
        <f>IF(D56="demand",P56*Assumptions!$B$17,ROUNDUP(N56/J56,0)*M56*K56*(1+L56))</f>
        <v>3000</v>
      </c>
      <c r="U56" s="6">
        <f>IF(D56="demand",Q56*Assumptions!$B$17,ROUNDUP(O56/J56,0)*M56*K56*(1+L56))</f>
        <v>30000</v>
      </c>
      <c r="V56" s="11">
        <f>T56*F56</f>
        <v>1.7999999999999998</v>
      </c>
      <c r="W56" s="11">
        <f>U56*F56</f>
        <v>18.0</v>
      </c>
      <c r="X56" s="3" t="s">
        <v>714</v>
      </c>
      <c r="Y56" s="7" t="s">
        <v>715</v>
      </c>
    </row>
    <row r="57" spans="1:25" ht="62" customHeight="1">
      <c r="A57" s="3" t="s">
        <v>484</v>
      </c>
      <c r="B57" s="3" t="s">
        <v>456</v>
      </c>
      <c r="C57" s="3" t="s">
        <v>485</v>
      </c>
      <c r="D57" s="3" t="s">
        <v>67</v>
      </c>
      <c r="E57" s="3" t="s">
        <v>76</v>
      </c>
      <c r="F57" s="8">
        <v>0.0005999999999999999</v>
      </c>
      <c r="G57" s="9">
        <v>0</v>
      </c>
      <c r="H57" s="9">
        <v>0</v>
      </c>
      <c r="I57" s="9">
        <v>0</v>
      </c>
      <c r="J57" s="9">
        <v>1</v>
      </c>
      <c r="K57" s="9">
        <v>1</v>
      </c>
      <c r="L57" s="5">
        <v>0</v>
      </c>
      <c r="M57" s="6">
        <f>Profiles!D8</f>
        <v>30</v>
      </c>
      <c r="N57" s="10">
        <f>IF(H57&gt;0,H57,IF(D57="entity",MAX(Assumptions!$B$7,ROUNDUP(Assumptions!$B$2*Assumptions!$B$7*Assumptions!$B$8,0)),1))</f>
        <v>1</v>
      </c>
      <c r="O57" s="10">
        <f>IF(I57&gt;0,I57,IF(D57="entity",MAX(Assumptions!$B$7,ROUNDUP(Assumptions!$B$3*Assumptions!$B$7*Assumptions!$B$8,0)),1))</f>
        <v>1</v>
      </c>
      <c r="P57" s="6">
        <f>ROUNDUP(Assumptions!$B$2*Assumptions!$B$4*Assumptions!$B$5/J57,0)*K57*(1+L57)</f>
        <v>1100</v>
      </c>
      <c r="Q57" s="6">
        <f>ROUNDUP(Assumptions!$B$3*Assumptions!$B$4*Assumptions!$B$5/J57,0)*K57*(1+L57)</f>
        <v>11000</v>
      </c>
      <c r="R57" s="11">
        <f>P57*F57</f>
        <v>0.6599999999999999</v>
      </c>
      <c r="S57" s="11">
        <f>Q57*F57</f>
        <v>6.6</v>
      </c>
      <c r="T57" s="6">
        <f>IF(D57="demand",P57*Assumptions!$B$17,ROUNDUP(N57/J57,0)*M57*K57*(1+L57))</f>
        <v>30</v>
      </c>
      <c r="U57" s="6">
        <f>IF(D57="demand",Q57*Assumptions!$B$17,ROUNDUP(O57/J57,0)*M57*K57*(1+L57))</f>
        <v>30</v>
      </c>
      <c r="V57" s="11">
        <f>T57*F57</f>
        <v>0.018</v>
      </c>
      <c r="W57" s="11">
        <f>U57*F57</f>
        <v>0.018</v>
      </c>
      <c r="X57" s="3" t="s">
        <v>714</v>
      </c>
      <c r="Y57" s="7" t="s">
        <v>715</v>
      </c>
    </row>
    <row r="58" spans="1:25" ht="62" customHeight="1">
      <c r="A58" s="3" t="s">
        <v>490</v>
      </c>
      <c r="B58" s="3" t="s">
        <v>456</v>
      </c>
      <c r="C58" s="3" t="s">
        <v>491</v>
      </c>
      <c r="D58" s="3" t="s">
        <v>64</v>
      </c>
      <c r="E58" s="3" t="s">
        <v>62</v>
      </c>
      <c r="F58" s="8">
        <v>0.0005999999999999999</v>
      </c>
      <c r="G58" s="9">
        <v>0</v>
      </c>
      <c r="H58" s="9">
        <v>0</v>
      </c>
      <c r="I58" s="9">
        <v>0</v>
      </c>
      <c r="J58" s="9">
        <v>1</v>
      </c>
      <c r="K58" s="9">
        <v>1</v>
      </c>
      <c r="L58" s="5">
        <v>0</v>
      </c>
      <c r="M58" s="6">
        <f>Profiles!D2</f>
        <v>1716</v>
      </c>
      <c r="N58" s="10">
        <f>IF(H58&gt;0,H58,IF(D58="entity",MAX(Assumptions!$B$7,ROUNDUP(Assumptions!$B$2*Assumptions!$B$7*Assumptions!$B$8,0)),1))</f>
        <v>100</v>
      </c>
      <c r="O58" s="10">
        <f>IF(I58&gt;0,I58,IF(D58="entity",MAX(Assumptions!$B$7,ROUNDUP(Assumptions!$B$3*Assumptions!$B$7*Assumptions!$B$8,0)),1))</f>
        <v>1000</v>
      </c>
      <c r="P58" s="6">
        <f>ROUNDUP(Assumptions!$B$2*Assumptions!$B$4*Assumptions!$B$5/J58,0)*K58*(1+L58)</f>
        <v>1100</v>
      </c>
      <c r="Q58" s="6">
        <f>ROUNDUP(Assumptions!$B$3*Assumptions!$B$4*Assumptions!$B$5/J58,0)*K58*(1+L58)</f>
        <v>11000</v>
      </c>
      <c r="R58" s="11">
        <f>P58*F58</f>
        <v>0.6599999999999999</v>
      </c>
      <c r="S58" s="11">
        <f>Q58*F58</f>
        <v>6.6</v>
      </c>
      <c r="T58" s="6">
        <f>IF(D58="demand",P58*Assumptions!$B$17,ROUNDUP(N58/J58,0)*M58*K58*(1+L58))</f>
        <v>171600</v>
      </c>
      <c r="U58" s="6">
        <f>IF(D58="demand",Q58*Assumptions!$B$17,ROUNDUP(O58/J58,0)*M58*K58*(1+L58))</f>
        <v>1716000</v>
      </c>
      <c r="V58" s="11">
        <f>T58*F58</f>
        <v>102.96</v>
      </c>
      <c r="W58" s="11">
        <f>U58*F58</f>
        <v>1029.6</v>
      </c>
      <c r="X58" s="3" t="s">
        <v>714</v>
      </c>
      <c r="Y58" s="7" t="s">
        <v>715</v>
      </c>
    </row>
    <row r="59" spans="1:25" ht="62" customHeight="1">
      <c r="A59" s="3" t="s">
        <v>496</v>
      </c>
      <c r="B59" s="3" t="s">
        <v>456</v>
      </c>
      <c r="C59" s="3" t="s">
        <v>497</v>
      </c>
      <c r="D59" s="3" t="s">
        <v>64</v>
      </c>
      <c r="E59" s="3" t="s">
        <v>83</v>
      </c>
      <c r="F59" s="8">
        <v>0.0005999999999999999</v>
      </c>
      <c r="G59" s="9">
        <v>0</v>
      </c>
      <c r="H59" s="9">
        <v>0</v>
      </c>
      <c r="I59" s="9">
        <v>0</v>
      </c>
      <c r="J59" s="9">
        <v>1</v>
      </c>
      <c r="K59" s="9">
        <v>1</v>
      </c>
      <c r="L59" s="5">
        <v>0</v>
      </c>
      <c r="M59" s="6">
        <f>Profiles!D11</f>
        <v>720</v>
      </c>
      <c r="N59" s="10">
        <f>IF(H59&gt;0,H59,IF(D59="entity",MAX(Assumptions!$B$7,ROUNDUP(Assumptions!$B$2*Assumptions!$B$7*Assumptions!$B$8,0)),1))</f>
        <v>100</v>
      </c>
      <c r="O59" s="10">
        <f>IF(I59&gt;0,I59,IF(D59="entity",MAX(Assumptions!$B$7,ROUNDUP(Assumptions!$B$3*Assumptions!$B$7*Assumptions!$B$8,0)),1))</f>
        <v>1000</v>
      </c>
      <c r="P59" s="6">
        <f>ROUNDUP(Assumptions!$B$2*Assumptions!$B$4*Assumptions!$B$5/J59,0)*K59*(1+L59)</f>
        <v>1100</v>
      </c>
      <c r="Q59" s="6">
        <f>ROUNDUP(Assumptions!$B$3*Assumptions!$B$4*Assumptions!$B$5/J59,0)*K59*(1+L59)</f>
        <v>11000</v>
      </c>
      <c r="R59" s="11">
        <f>P59*F59</f>
        <v>0.6599999999999999</v>
      </c>
      <c r="S59" s="11">
        <f>Q59*F59</f>
        <v>6.6</v>
      </c>
      <c r="T59" s="6">
        <f>IF(D59="demand",P59*Assumptions!$B$17,ROUNDUP(N59/J59,0)*M59*K59*(1+L59))</f>
        <v>72000</v>
      </c>
      <c r="U59" s="6">
        <f>IF(D59="demand",Q59*Assumptions!$B$17,ROUNDUP(O59/J59,0)*M59*K59*(1+L59))</f>
        <v>720000</v>
      </c>
      <c r="V59" s="11">
        <f>T59*F59</f>
        <v>43.199999999999996</v>
      </c>
      <c r="W59" s="11">
        <f>U59*F59</f>
        <v>431.99999999999994</v>
      </c>
      <c r="X59" s="3" t="s">
        <v>714</v>
      </c>
      <c r="Y59" s="7" t="s">
        <v>715</v>
      </c>
    </row>
    <row r="60" spans="1:25" ht="62" customHeight="1">
      <c r="A60" s="3" t="s">
        <v>506</v>
      </c>
      <c r="B60" s="3" t="s">
        <v>456</v>
      </c>
      <c r="C60" s="3" t="s">
        <v>507</v>
      </c>
      <c r="D60" s="3" t="s">
        <v>64</v>
      </c>
      <c r="E60" s="3" t="s">
        <v>74</v>
      </c>
      <c r="F60" s="8">
        <v>0.0005999999999999999</v>
      </c>
      <c r="G60" s="9">
        <v>0</v>
      </c>
      <c r="H60" s="9">
        <v>0</v>
      </c>
      <c r="I60" s="9">
        <v>0</v>
      </c>
      <c r="J60" s="9">
        <v>1</v>
      </c>
      <c r="K60" s="9">
        <v>1</v>
      </c>
      <c r="L60" s="5">
        <v>0</v>
      </c>
      <c r="M60" s="6">
        <f>Profiles!D7</f>
        <v>30</v>
      </c>
      <c r="N60" s="10">
        <f>IF(H60&gt;0,H60,IF(D60="entity",MAX(Assumptions!$B$7,ROUNDUP(Assumptions!$B$2*Assumptions!$B$7*Assumptions!$B$8,0)),1))</f>
        <v>100</v>
      </c>
      <c r="O60" s="10">
        <f>IF(I60&gt;0,I60,IF(D60="entity",MAX(Assumptions!$B$7,ROUNDUP(Assumptions!$B$3*Assumptions!$B$7*Assumptions!$B$8,0)),1))</f>
        <v>1000</v>
      </c>
      <c r="P60" s="6">
        <f>ROUNDUP(Assumptions!$B$2*Assumptions!$B$4*Assumptions!$B$5/J60,0)*K60*(1+L60)</f>
        <v>1100</v>
      </c>
      <c r="Q60" s="6">
        <f>ROUNDUP(Assumptions!$B$3*Assumptions!$B$4*Assumptions!$B$5/J60,0)*K60*(1+L60)</f>
        <v>11000</v>
      </c>
      <c r="R60" s="11">
        <f>P60*F60</f>
        <v>0.6599999999999999</v>
      </c>
      <c r="S60" s="11">
        <f>Q60*F60</f>
        <v>6.6</v>
      </c>
      <c r="T60" s="6">
        <f>IF(D60="demand",P60*Assumptions!$B$17,ROUNDUP(N60/J60,0)*M60*K60*(1+L60))</f>
        <v>3000</v>
      </c>
      <c r="U60" s="6">
        <f>IF(D60="demand",Q60*Assumptions!$B$17,ROUNDUP(O60/J60,0)*M60*K60*(1+L60))</f>
        <v>30000</v>
      </c>
      <c r="V60" s="11">
        <f>T60*F60</f>
        <v>1.7999999999999998</v>
      </c>
      <c r="W60" s="11">
        <f>U60*F60</f>
        <v>18.0</v>
      </c>
      <c r="X60" s="3" t="s">
        <v>714</v>
      </c>
      <c r="Y60" s="7" t="s">
        <v>715</v>
      </c>
    </row>
    <row r="61" spans="1:25" ht="62" customHeight="1">
      <c r="A61" s="3" t="s">
        <v>542</v>
      </c>
      <c r="B61" s="3" t="s">
        <v>543</v>
      </c>
      <c r="C61" s="3" t="s">
        <v>544</v>
      </c>
      <c r="D61" s="3" t="s">
        <v>80</v>
      </c>
      <c r="E61" s="3" t="s">
        <v>78</v>
      </c>
      <c r="F61" s="8">
        <v>0.01</v>
      </c>
      <c r="G61" s="9">
        <v>0</v>
      </c>
      <c r="H61" s="9">
        <v>0</v>
      </c>
      <c r="I61" s="9">
        <v>0</v>
      </c>
      <c r="J61" s="9">
        <v>1</v>
      </c>
      <c r="K61" s="9">
        <v>1</v>
      </c>
      <c r="L61" s="5">
        <v>0</v>
      </c>
      <c r="M61" s="6">
        <f>Profiles!D9</f>
        <v>0</v>
      </c>
      <c r="N61" s="10">
        <f>IF(H61&gt;0,H61,IF(D61="entity",MAX(Assumptions!$B$7,ROUNDUP(Assumptions!$B$2*Assumptions!$B$7*Assumptions!$B$8,0)),1))</f>
        <v>1</v>
      </c>
      <c r="O61" s="10">
        <f>IF(I61&gt;0,I61,IF(D61="entity",MAX(Assumptions!$B$7,ROUNDUP(Assumptions!$B$3*Assumptions!$B$7*Assumptions!$B$8,0)),1))</f>
        <v>1</v>
      </c>
      <c r="P61" s="6">
        <f>ROUNDUP(Assumptions!$B$2*Assumptions!$B$4*Assumptions!$B$5/J61,0)*K61*(1+L61)</f>
        <v>1100</v>
      </c>
      <c r="Q61" s="6">
        <f>ROUNDUP(Assumptions!$B$3*Assumptions!$B$4*Assumptions!$B$5/J61,0)*K61*(1+L61)</f>
        <v>11000</v>
      </c>
      <c r="R61" s="11">
        <f>P61*F61</f>
        <v>11.0</v>
      </c>
      <c r="S61" s="11">
        <f>Q61*F61</f>
        <v>110.0</v>
      </c>
      <c r="T61" s="6">
        <f>IF(D61="demand",P61*Assumptions!$B$17,ROUNDUP(N61/J61,0)*M61*K61*(1+L61))</f>
        <v>550.0</v>
      </c>
      <c r="U61" s="6">
        <f>IF(D61="demand",Q61*Assumptions!$B$17,ROUNDUP(O61/J61,0)*M61*K61*(1+L61))</f>
        <v>5500.0</v>
      </c>
      <c r="V61" s="11">
        <f>T61*F61</f>
        <v>5.5</v>
      </c>
      <c r="W61" s="11">
        <f>U61*F61</f>
        <v>55.0</v>
      </c>
      <c r="X61" s="3" t="s">
        <v>714</v>
      </c>
      <c r="Y61" s="7" t="s">
        <v>715</v>
      </c>
    </row>
    <row r="62" spans="1:25" ht="62" customHeight="1">
      <c r="A62" s="3" t="s">
        <v>552</v>
      </c>
      <c r="B62" s="3" t="s">
        <v>543</v>
      </c>
      <c r="C62" s="3" t="s">
        <v>553</v>
      </c>
      <c r="D62" s="3" t="s">
        <v>67</v>
      </c>
      <c r="E62" s="3" t="s">
        <v>72</v>
      </c>
      <c r="F62" s="8">
        <v>0.01</v>
      </c>
      <c r="G62" s="9">
        <v>0</v>
      </c>
      <c r="H62" s="9">
        <v>0</v>
      </c>
      <c r="I62" s="9">
        <v>0</v>
      </c>
      <c r="J62" s="9">
        <v>1</v>
      </c>
      <c r="K62" s="9">
        <v>1</v>
      </c>
      <c r="L62" s="5">
        <v>0</v>
      </c>
      <c r="M62" s="6">
        <f>Profiles!D6</f>
        <v>1408</v>
      </c>
      <c r="N62" s="10">
        <f>IF(H62&gt;0,H62,IF(D62="entity",MAX(Assumptions!$B$7,ROUNDUP(Assumptions!$B$2*Assumptions!$B$7*Assumptions!$B$8,0)),1))</f>
        <v>1</v>
      </c>
      <c r="O62" s="10">
        <f>IF(I62&gt;0,I62,IF(D62="entity",MAX(Assumptions!$B$7,ROUNDUP(Assumptions!$B$3*Assumptions!$B$7*Assumptions!$B$8,0)),1))</f>
        <v>1</v>
      </c>
      <c r="P62" s="6">
        <f>ROUNDUP(Assumptions!$B$2*Assumptions!$B$4*Assumptions!$B$5/J62,0)*K62*(1+L62)</f>
        <v>1100</v>
      </c>
      <c r="Q62" s="6">
        <f>ROUNDUP(Assumptions!$B$3*Assumptions!$B$4*Assumptions!$B$5/J62,0)*K62*(1+L62)</f>
        <v>11000</v>
      </c>
      <c r="R62" s="11">
        <f>P62*F62</f>
        <v>11.0</v>
      </c>
      <c r="S62" s="11">
        <f>Q62*F62</f>
        <v>110.0</v>
      </c>
      <c r="T62" s="6">
        <f>IF(D62="demand",P62*Assumptions!$B$17,ROUNDUP(N62/J62,0)*M62*K62*(1+L62))</f>
        <v>1408</v>
      </c>
      <c r="U62" s="6">
        <f>IF(D62="demand",Q62*Assumptions!$B$17,ROUNDUP(O62/J62,0)*M62*K62*(1+L62))</f>
        <v>1408</v>
      </c>
      <c r="V62" s="11">
        <f>T62*F62</f>
        <v>14.08</v>
      </c>
      <c r="W62" s="11">
        <f>U62*F62</f>
        <v>14.08</v>
      </c>
      <c r="X62" s="3" t="s">
        <v>714</v>
      </c>
      <c r="Y62" s="7" t="s">
        <v>715</v>
      </c>
    </row>
    <row r="63" spans="1:25" ht="62" customHeight="1">
      <c r="A63" s="3" t="s">
        <v>561</v>
      </c>
      <c r="B63" s="3" t="s">
        <v>543</v>
      </c>
      <c r="C63" s="3" t="s">
        <v>562</v>
      </c>
      <c r="D63" s="3" t="s">
        <v>67</v>
      </c>
      <c r="E63" s="3" t="s">
        <v>72</v>
      </c>
      <c r="F63" s="8">
        <v>0.01</v>
      </c>
      <c r="G63" s="9">
        <v>0</v>
      </c>
      <c r="H63" s="9">
        <v>0</v>
      </c>
      <c r="I63" s="9">
        <v>0</v>
      </c>
      <c r="J63" s="9">
        <v>1</v>
      </c>
      <c r="K63" s="9">
        <v>1</v>
      </c>
      <c r="L63" s="5">
        <v>0</v>
      </c>
      <c r="M63" s="6">
        <f>Profiles!D6</f>
        <v>1408</v>
      </c>
      <c r="N63" s="10">
        <f>IF(H63&gt;0,H63,IF(D63="entity",MAX(Assumptions!$B$7,ROUNDUP(Assumptions!$B$2*Assumptions!$B$7*Assumptions!$B$8,0)),1))</f>
        <v>1</v>
      </c>
      <c r="O63" s="10">
        <f>IF(I63&gt;0,I63,IF(D63="entity",MAX(Assumptions!$B$7,ROUNDUP(Assumptions!$B$3*Assumptions!$B$7*Assumptions!$B$8,0)),1))</f>
        <v>1</v>
      </c>
      <c r="P63" s="6">
        <f>ROUNDUP(Assumptions!$B$2*Assumptions!$B$4*Assumptions!$B$5/J63,0)*K63*(1+L63)</f>
        <v>1100</v>
      </c>
      <c r="Q63" s="6">
        <f>ROUNDUP(Assumptions!$B$3*Assumptions!$B$4*Assumptions!$B$5/J63,0)*K63*(1+L63)</f>
        <v>11000</v>
      </c>
      <c r="R63" s="11">
        <f>P63*F63</f>
        <v>11.0</v>
      </c>
      <c r="S63" s="11">
        <f>Q63*F63</f>
        <v>110.0</v>
      </c>
      <c r="T63" s="6">
        <f>IF(D63="demand",P63*Assumptions!$B$17,ROUNDUP(N63/J63,0)*M63*K63*(1+L63))</f>
        <v>1408</v>
      </c>
      <c r="U63" s="6">
        <f>IF(D63="demand",Q63*Assumptions!$B$17,ROUNDUP(O63/J63,0)*M63*K63*(1+L63))</f>
        <v>1408</v>
      </c>
      <c r="V63" s="11">
        <f>T63*F63</f>
        <v>14.08</v>
      </c>
      <c r="W63" s="11">
        <f>U63*F63</f>
        <v>14.08</v>
      </c>
      <c r="X63" s="3" t="s">
        <v>714</v>
      </c>
      <c r="Y63" s="7" t="s">
        <v>715</v>
      </c>
    </row>
    <row r="64" spans="1:25" ht="62" customHeight="1">
      <c r="A64" s="3" t="s">
        <v>567</v>
      </c>
      <c r="B64" s="3" t="s">
        <v>543</v>
      </c>
      <c r="C64" s="3" t="s">
        <v>568</v>
      </c>
      <c r="D64" s="3" t="s">
        <v>67</v>
      </c>
      <c r="E64" s="3" t="s">
        <v>72</v>
      </c>
      <c r="F64" s="8">
        <v>0.01</v>
      </c>
      <c r="G64" s="9">
        <v>0</v>
      </c>
      <c r="H64" s="9">
        <v>0</v>
      </c>
      <c r="I64" s="9">
        <v>0</v>
      </c>
      <c r="J64" s="9">
        <v>1</v>
      </c>
      <c r="K64" s="9">
        <v>1</v>
      </c>
      <c r="L64" s="5">
        <v>0</v>
      </c>
      <c r="M64" s="6">
        <f>Profiles!D6</f>
        <v>1408</v>
      </c>
      <c r="N64" s="10">
        <f>IF(H64&gt;0,H64,IF(D64="entity",MAX(Assumptions!$B$7,ROUNDUP(Assumptions!$B$2*Assumptions!$B$7*Assumptions!$B$8,0)),1))</f>
        <v>1</v>
      </c>
      <c r="O64" s="10">
        <f>IF(I64&gt;0,I64,IF(D64="entity",MAX(Assumptions!$B$7,ROUNDUP(Assumptions!$B$3*Assumptions!$B$7*Assumptions!$B$8,0)),1))</f>
        <v>1</v>
      </c>
      <c r="P64" s="6">
        <f>ROUNDUP(Assumptions!$B$2*Assumptions!$B$4*Assumptions!$B$5/J64,0)*K64*(1+L64)</f>
        <v>1100</v>
      </c>
      <c r="Q64" s="6">
        <f>ROUNDUP(Assumptions!$B$3*Assumptions!$B$4*Assumptions!$B$5/J64,0)*K64*(1+L64)</f>
        <v>11000</v>
      </c>
      <c r="R64" s="11">
        <f>P64*F64</f>
        <v>11.0</v>
      </c>
      <c r="S64" s="11">
        <f>Q64*F64</f>
        <v>110.0</v>
      </c>
      <c r="T64" s="6">
        <f>IF(D64="demand",P64*Assumptions!$B$17,ROUNDUP(N64/J64,0)*M64*K64*(1+L64))</f>
        <v>1408</v>
      </c>
      <c r="U64" s="6">
        <f>IF(D64="demand",Q64*Assumptions!$B$17,ROUNDUP(O64/J64,0)*M64*K64*(1+L64))</f>
        <v>1408</v>
      </c>
      <c r="V64" s="11">
        <f>T64*F64</f>
        <v>14.08</v>
      </c>
      <c r="W64" s="11">
        <f>U64*F64</f>
        <v>14.08</v>
      </c>
      <c r="X64" s="3" t="s">
        <v>714</v>
      </c>
      <c r="Y64" s="7" t="s">
        <v>715</v>
      </c>
    </row>
    <row r="65" spans="1:25" ht="62" customHeight="1">
      <c r="A65" s="3" t="s">
        <v>573</v>
      </c>
      <c r="B65" s="3" t="s">
        <v>543</v>
      </c>
      <c r="C65" s="3" t="s">
        <v>574</v>
      </c>
      <c r="D65" s="3" t="s">
        <v>64</v>
      </c>
      <c r="E65" s="3" t="s">
        <v>74</v>
      </c>
      <c r="F65" s="8">
        <v>0.01</v>
      </c>
      <c r="G65" s="9">
        <v>0</v>
      </c>
      <c r="H65" s="9">
        <v>0</v>
      </c>
      <c r="I65" s="9">
        <v>0</v>
      </c>
      <c r="J65" s="9">
        <v>1</v>
      </c>
      <c r="K65" s="9">
        <v>1</v>
      </c>
      <c r="L65" s="5">
        <v>0</v>
      </c>
      <c r="M65" s="6">
        <f>Profiles!D7</f>
        <v>30</v>
      </c>
      <c r="N65" s="10">
        <f>IF(H65&gt;0,H65,IF(D65="entity",MAX(Assumptions!$B$7,ROUNDUP(Assumptions!$B$2*Assumptions!$B$7*Assumptions!$B$8,0)),1))</f>
        <v>100</v>
      </c>
      <c r="O65" s="10">
        <f>IF(I65&gt;0,I65,IF(D65="entity",MAX(Assumptions!$B$7,ROUNDUP(Assumptions!$B$3*Assumptions!$B$7*Assumptions!$B$8,0)),1))</f>
        <v>1000</v>
      </c>
      <c r="P65" s="6">
        <f>ROUNDUP(Assumptions!$B$2*Assumptions!$B$4*Assumptions!$B$5/J65,0)*K65*(1+L65)</f>
        <v>1100</v>
      </c>
      <c r="Q65" s="6">
        <f>ROUNDUP(Assumptions!$B$3*Assumptions!$B$4*Assumptions!$B$5/J65,0)*K65*(1+L65)</f>
        <v>11000</v>
      </c>
      <c r="R65" s="11">
        <f>P65*F65</f>
        <v>11.0</v>
      </c>
      <c r="S65" s="11">
        <f>Q65*F65</f>
        <v>110.0</v>
      </c>
      <c r="T65" s="6">
        <f>IF(D65="demand",P65*Assumptions!$B$17,ROUNDUP(N65/J65,0)*M65*K65*(1+L65))</f>
        <v>3000</v>
      </c>
      <c r="U65" s="6">
        <f>IF(D65="demand",Q65*Assumptions!$B$17,ROUNDUP(O65/J65,0)*M65*K65*(1+L65))</f>
        <v>30000</v>
      </c>
      <c r="V65" s="11">
        <f>T65*F65</f>
        <v>30.0</v>
      </c>
      <c r="W65" s="11">
        <f>U65*F65</f>
        <v>300.0</v>
      </c>
      <c r="X65" s="3" t="s">
        <v>714</v>
      </c>
      <c r="Y65" s="7" t="s">
        <v>715</v>
      </c>
    </row>
    <row r="66" spans="1:25" ht="62" customHeight="1">
      <c r="A66" s="3" t="s">
        <v>579</v>
      </c>
      <c r="B66" s="3" t="s">
        <v>543</v>
      </c>
      <c r="C66" s="3" t="s">
        <v>580</v>
      </c>
      <c r="D66" s="3" t="s">
        <v>67</v>
      </c>
      <c r="E66" s="3" t="s">
        <v>72</v>
      </c>
      <c r="F66" s="8">
        <v>0.01</v>
      </c>
      <c r="G66" s="9">
        <v>0</v>
      </c>
      <c r="H66" s="9">
        <v>0</v>
      </c>
      <c r="I66" s="9">
        <v>0</v>
      </c>
      <c r="J66" s="9">
        <v>1</v>
      </c>
      <c r="K66" s="9">
        <v>1</v>
      </c>
      <c r="L66" s="5">
        <v>0</v>
      </c>
      <c r="M66" s="6">
        <f>Profiles!D6</f>
        <v>1408</v>
      </c>
      <c r="N66" s="10">
        <f>IF(H66&gt;0,H66,IF(D66="entity",MAX(Assumptions!$B$7,ROUNDUP(Assumptions!$B$2*Assumptions!$B$7*Assumptions!$B$8,0)),1))</f>
        <v>1</v>
      </c>
      <c r="O66" s="10">
        <f>IF(I66&gt;0,I66,IF(D66="entity",MAX(Assumptions!$B$7,ROUNDUP(Assumptions!$B$3*Assumptions!$B$7*Assumptions!$B$8,0)),1))</f>
        <v>1</v>
      </c>
      <c r="P66" s="6">
        <f>ROUNDUP(Assumptions!$B$2*Assumptions!$B$4*Assumptions!$B$5/J66,0)*K66*(1+L66)</f>
        <v>1100</v>
      </c>
      <c r="Q66" s="6">
        <f>ROUNDUP(Assumptions!$B$3*Assumptions!$B$4*Assumptions!$B$5/J66,0)*K66*(1+L66)</f>
        <v>11000</v>
      </c>
      <c r="R66" s="11">
        <f>P66*F66</f>
        <v>11.0</v>
      </c>
      <c r="S66" s="11">
        <f>Q66*F66</f>
        <v>110.0</v>
      </c>
      <c r="T66" s="6">
        <f>IF(D66="demand",P66*Assumptions!$B$17,ROUNDUP(N66/J66,0)*M66*K66*(1+L66))</f>
        <v>1408</v>
      </c>
      <c r="U66" s="6">
        <f>IF(D66="demand",Q66*Assumptions!$B$17,ROUNDUP(O66/J66,0)*M66*K66*(1+L66))</f>
        <v>1408</v>
      </c>
      <c r="V66" s="11">
        <f>T66*F66</f>
        <v>14.08</v>
      </c>
      <c r="W66" s="11">
        <f>U66*F66</f>
        <v>14.08</v>
      </c>
      <c r="X66" s="3" t="s">
        <v>714</v>
      </c>
      <c r="Y66" s="7" t="s">
        <v>715</v>
      </c>
    </row>
    <row r="67" spans="1:25" ht="62" customHeight="1">
      <c r="A67" s="3" t="s">
        <v>585</v>
      </c>
      <c r="B67" s="3" t="s">
        <v>543</v>
      </c>
      <c r="C67" s="3" t="s">
        <v>586</v>
      </c>
      <c r="D67" s="3" t="s">
        <v>67</v>
      </c>
      <c r="E67" s="3" t="s">
        <v>72</v>
      </c>
      <c r="F67" s="8">
        <v>0.01</v>
      </c>
      <c r="G67" s="9">
        <v>0</v>
      </c>
      <c r="H67" s="9">
        <v>0</v>
      </c>
      <c r="I67" s="9">
        <v>0</v>
      </c>
      <c r="J67" s="9">
        <v>1</v>
      </c>
      <c r="K67" s="9">
        <v>1</v>
      </c>
      <c r="L67" s="5">
        <v>0</v>
      </c>
      <c r="M67" s="6">
        <f>Profiles!D6</f>
        <v>1408</v>
      </c>
      <c r="N67" s="10">
        <f>IF(H67&gt;0,H67,IF(D67="entity",MAX(Assumptions!$B$7,ROUNDUP(Assumptions!$B$2*Assumptions!$B$7*Assumptions!$B$8,0)),1))</f>
        <v>1</v>
      </c>
      <c r="O67" s="10">
        <f>IF(I67&gt;0,I67,IF(D67="entity",MAX(Assumptions!$B$7,ROUNDUP(Assumptions!$B$3*Assumptions!$B$7*Assumptions!$B$8,0)),1))</f>
        <v>1</v>
      </c>
      <c r="P67" s="6">
        <f>ROUNDUP(Assumptions!$B$2*Assumptions!$B$4*Assumptions!$B$5/J67,0)*K67*(1+L67)</f>
        <v>1100</v>
      </c>
      <c r="Q67" s="6">
        <f>ROUNDUP(Assumptions!$B$3*Assumptions!$B$4*Assumptions!$B$5/J67,0)*K67*(1+L67)</f>
        <v>11000</v>
      </c>
      <c r="R67" s="11">
        <f>P67*F67</f>
        <v>11.0</v>
      </c>
      <c r="S67" s="11">
        <f>Q67*F67</f>
        <v>110.0</v>
      </c>
      <c r="T67" s="6">
        <f>IF(D67="demand",P67*Assumptions!$B$17,ROUNDUP(N67/J67,0)*M67*K67*(1+L67))</f>
        <v>1408</v>
      </c>
      <c r="U67" s="6">
        <f>IF(D67="demand",Q67*Assumptions!$B$17,ROUNDUP(O67/J67,0)*M67*K67*(1+L67))</f>
        <v>1408</v>
      </c>
      <c r="V67" s="11">
        <f>T67*F67</f>
        <v>14.08</v>
      </c>
      <c r="W67" s="11">
        <f>U67*F67</f>
        <v>14.08</v>
      </c>
      <c r="X67" s="3" t="s">
        <v>714</v>
      </c>
      <c r="Y67" s="7" t="s">
        <v>715</v>
      </c>
    </row>
    <row r="68" spans="1:25" ht="62" customHeight="1">
      <c r="A68" s="3" t="s">
        <v>591</v>
      </c>
      <c r="B68" s="3" t="s">
        <v>543</v>
      </c>
      <c r="C68" s="3" t="s">
        <v>592</v>
      </c>
      <c r="D68" s="3" t="s">
        <v>67</v>
      </c>
      <c r="E68" s="3" t="s">
        <v>72</v>
      </c>
      <c r="F68" s="8">
        <v>0.01</v>
      </c>
      <c r="G68" s="9">
        <v>0</v>
      </c>
      <c r="H68" s="9">
        <v>0</v>
      </c>
      <c r="I68" s="9">
        <v>0</v>
      </c>
      <c r="J68" s="9">
        <v>1</v>
      </c>
      <c r="K68" s="9">
        <v>1</v>
      </c>
      <c r="L68" s="5">
        <v>0</v>
      </c>
      <c r="M68" s="6">
        <f>Profiles!D6</f>
        <v>1408</v>
      </c>
      <c r="N68" s="10">
        <f>IF(H68&gt;0,H68,IF(D68="entity",MAX(Assumptions!$B$7,ROUNDUP(Assumptions!$B$2*Assumptions!$B$7*Assumptions!$B$8,0)),1))</f>
        <v>1</v>
      </c>
      <c r="O68" s="10">
        <f>IF(I68&gt;0,I68,IF(D68="entity",MAX(Assumptions!$B$7,ROUNDUP(Assumptions!$B$3*Assumptions!$B$7*Assumptions!$B$8,0)),1))</f>
        <v>1</v>
      </c>
      <c r="P68" s="6">
        <f>ROUNDUP(Assumptions!$B$2*Assumptions!$B$4*Assumptions!$B$5/J68,0)*K68*(1+L68)</f>
        <v>1100</v>
      </c>
      <c r="Q68" s="6">
        <f>ROUNDUP(Assumptions!$B$3*Assumptions!$B$4*Assumptions!$B$5/J68,0)*K68*(1+L68)</f>
        <v>11000</v>
      </c>
      <c r="R68" s="11">
        <f>P68*F68</f>
        <v>11.0</v>
      </c>
      <c r="S68" s="11">
        <f>Q68*F68</f>
        <v>110.0</v>
      </c>
      <c r="T68" s="6">
        <f>IF(D68="demand",P68*Assumptions!$B$17,ROUNDUP(N68/J68,0)*M68*K68*(1+L68))</f>
        <v>1408</v>
      </c>
      <c r="U68" s="6">
        <f>IF(D68="demand",Q68*Assumptions!$B$17,ROUNDUP(O68/J68,0)*M68*K68*(1+L68))</f>
        <v>1408</v>
      </c>
      <c r="V68" s="11">
        <f>T68*F68</f>
        <v>14.08</v>
      </c>
      <c r="W68" s="11">
        <f>U68*F68</f>
        <v>14.08</v>
      </c>
      <c r="X68" s="3" t="s">
        <v>714</v>
      </c>
      <c r="Y68" s="7" t="s">
        <v>715</v>
      </c>
    </row>
    <row r="69" spans="1:25" ht="62" customHeight="1">
      <c r="A69" s="3" t="s">
        <v>597</v>
      </c>
      <c r="B69" s="3" t="s">
        <v>543</v>
      </c>
      <c r="C69" s="3" t="s">
        <v>598</v>
      </c>
      <c r="D69" s="3" t="s">
        <v>64</v>
      </c>
      <c r="E69" s="3" t="s">
        <v>70</v>
      </c>
      <c r="F69" s="8">
        <v>0.01</v>
      </c>
      <c r="G69" s="9">
        <v>0</v>
      </c>
      <c r="H69" s="9">
        <v>0</v>
      </c>
      <c r="I69" s="9">
        <v>0</v>
      </c>
      <c r="J69" s="9">
        <v>1</v>
      </c>
      <c r="K69" s="9">
        <v>1</v>
      </c>
      <c r="L69" s="5">
        <v>0</v>
      </c>
      <c r="M69" s="6">
        <f>Profiles!D5</f>
        <v>352</v>
      </c>
      <c r="N69" s="10">
        <f>IF(H69&gt;0,H69,IF(D69="entity",MAX(Assumptions!$B$7,ROUNDUP(Assumptions!$B$2*Assumptions!$B$7*Assumptions!$B$8,0)),1))</f>
        <v>100</v>
      </c>
      <c r="O69" s="10">
        <f>IF(I69&gt;0,I69,IF(D69="entity",MAX(Assumptions!$B$7,ROUNDUP(Assumptions!$B$3*Assumptions!$B$7*Assumptions!$B$8,0)),1))</f>
        <v>1000</v>
      </c>
      <c r="P69" s="6">
        <f>ROUNDUP(Assumptions!$B$2*Assumptions!$B$4*Assumptions!$B$5/J69,0)*K69*(1+L69)</f>
        <v>1100</v>
      </c>
      <c r="Q69" s="6">
        <f>ROUNDUP(Assumptions!$B$3*Assumptions!$B$4*Assumptions!$B$5/J69,0)*K69*(1+L69)</f>
        <v>11000</v>
      </c>
      <c r="R69" s="11">
        <f>P69*F69</f>
        <v>11.0</v>
      </c>
      <c r="S69" s="11">
        <f>Q69*F69</f>
        <v>110.0</v>
      </c>
      <c r="T69" s="6">
        <f>IF(D69="demand",P69*Assumptions!$B$17,ROUNDUP(N69/J69,0)*M69*K69*(1+L69))</f>
        <v>35200</v>
      </c>
      <c r="U69" s="6">
        <f>IF(D69="demand",Q69*Assumptions!$B$17,ROUNDUP(O69/J69,0)*M69*K69*(1+L69))</f>
        <v>352000</v>
      </c>
      <c r="V69" s="11">
        <f>T69*F69</f>
        <v>352.0</v>
      </c>
      <c r="W69" s="11">
        <f>U69*F69</f>
        <v>3520.0</v>
      </c>
      <c r="X69" s="3" t="s">
        <v>714</v>
      </c>
      <c r="Y69" s="7" t="s">
        <v>715</v>
      </c>
    </row>
    <row r="70" spans="1:25" ht="62" customHeight="1">
      <c r="A70" s="3" t="s">
        <v>603</v>
      </c>
      <c r="B70" s="3" t="s">
        <v>543</v>
      </c>
      <c r="C70" s="3" t="s">
        <v>604</v>
      </c>
      <c r="D70" s="3" t="s">
        <v>64</v>
      </c>
      <c r="E70" s="3" t="s">
        <v>74</v>
      </c>
      <c r="F70" s="8">
        <v>0.01</v>
      </c>
      <c r="G70" s="9">
        <v>0</v>
      </c>
      <c r="H70" s="9">
        <v>10</v>
      </c>
      <c r="I70" s="9">
        <v>10</v>
      </c>
      <c r="J70" s="9">
        <v>1</v>
      </c>
      <c r="K70" s="9">
        <v>1</v>
      </c>
      <c r="L70" s="5">
        <v>0</v>
      </c>
      <c r="M70" s="6">
        <f>Profiles!D7</f>
        <v>30</v>
      </c>
      <c r="N70" s="10">
        <f>IF(H70&gt;0,H70,IF(D70="entity",MAX(Assumptions!$B$7,ROUNDUP(Assumptions!$B$2*Assumptions!$B$7*Assumptions!$B$8,0)),1))</f>
        <v>10</v>
      </c>
      <c r="O70" s="10">
        <f>IF(I70&gt;0,I70,IF(D70="entity",MAX(Assumptions!$B$7,ROUNDUP(Assumptions!$B$3*Assumptions!$B$7*Assumptions!$B$8,0)),1))</f>
        <v>10</v>
      </c>
      <c r="P70" s="6">
        <f>ROUNDUP(Assumptions!$B$2*Assumptions!$B$4*Assumptions!$B$5/J70,0)*K70*(1+L70)</f>
        <v>1100</v>
      </c>
      <c r="Q70" s="6">
        <f>ROUNDUP(Assumptions!$B$3*Assumptions!$B$4*Assumptions!$B$5/J70,0)*K70*(1+L70)</f>
        <v>11000</v>
      </c>
      <c r="R70" s="11">
        <f>P70*F70</f>
        <v>11.0</v>
      </c>
      <c r="S70" s="11">
        <f>Q70*F70</f>
        <v>110.0</v>
      </c>
      <c r="T70" s="6">
        <f>IF(D70="demand",P70*Assumptions!$B$17,ROUNDUP(N70/J70,0)*M70*K70*(1+L70))</f>
        <v>300</v>
      </c>
      <c r="U70" s="6">
        <f>IF(D70="demand",Q70*Assumptions!$B$17,ROUNDUP(O70/J70,0)*M70*K70*(1+L70))</f>
        <v>300</v>
      </c>
      <c r="V70" s="11">
        <f>T70*F70</f>
        <v>3.0</v>
      </c>
      <c r="W70" s="11">
        <f>U70*F70</f>
        <v>3.0</v>
      </c>
      <c r="X70" s="3" t="s">
        <v>718</v>
      </c>
      <c r="Y70" s="7" t="s">
        <v>715</v>
      </c>
    </row>
    <row r="71" spans="1:25" ht="62" customHeight="1">
      <c r="A71" s="3" t="s">
        <v>609</v>
      </c>
      <c r="B71" s="3" t="s">
        <v>543</v>
      </c>
      <c r="C71" s="3" t="s">
        <v>610</v>
      </c>
      <c r="D71" s="3" t="s">
        <v>67</v>
      </c>
      <c r="E71" s="3" t="s">
        <v>72</v>
      </c>
      <c r="F71" s="8">
        <v>0.01</v>
      </c>
      <c r="G71" s="9">
        <v>0</v>
      </c>
      <c r="H71" s="9">
        <v>0</v>
      </c>
      <c r="I71" s="9">
        <v>0</v>
      </c>
      <c r="J71" s="9">
        <v>1</v>
      </c>
      <c r="K71" s="9">
        <v>1</v>
      </c>
      <c r="L71" s="5">
        <v>0</v>
      </c>
      <c r="M71" s="6">
        <f>Profiles!D6</f>
        <v>1408</v>
      </c>
      <c r="N71" s="10">
        <f>IF(H71&gt;0,H71,IF(D71="entity",MAX(Assumptions!$B$7,ROUNDUP(Assumptions!$B$2*Assumptions!$B$7*Assumptions!$B$8,0)),1))</f>
        <v>1</v>
      </c>
      <c r="O71" s="10">
        <f>IF(I71&gt;0,I71,IF(D71="entity",MAX(Assumptions!$B$7,ROUNDUP(Assumptions!$B$3*Assumptions!$B$7*Assumptions!$B$8,0)),1))</f>
        <v>1</v>
      </c>
      <c r="P71" s="6">
        <f>ROUNDUP(Assumptions!$B$2*Assumptions!$B$4*Assumptions!$B$5/J71,0)*K71*(1+L71)</f>
        <v>1100</v>
      </c>
      <c r="Q71" s="6">
        <f>ROUNDUP(Assumptions!$B$3*Assumptions!$B$4*Assumptions!$B$5/J71,0)*K71*(1+L71)</f>
        <v>11000</v>
      </c>
      <c r="R71" s="11">
        <f>P71*F71</f>
        <v>11.0</v>
      </c>
      <c r="S71" s="11">
        <f>Q71*F71</f>
        <v>110.0</v>
      </c>
      <c r="T71" s="6">
        <f>IF(D71="demand",P71*Assumptions!$B$17,ROUNDUP(N71/J71,0)*M71*K71*(1+L71))</f>
        <v>1408</v>
      </c>
      <c r="U71" s="6">
        <f>IF(D71="demand",Q71*Assumptions!$B$17,ROUNDUP(O71/J71,0)*M71*K71*(1+L71))</f>
        <v>1408</v>
      </c>
      <c r="V71" s="11">
        <f>T71*F71</f>
        <v>14.08</v>
      </c>
      <c r="W71" s="11">
        <f>U71*F71</f>
        <v>14.08</v>
      </c>
      <c r="X71" s="3" t="s">
        <v>714</v>
      </c>
      <c r="Y71" s="7" t="s">
        <v>715</v>
      </c>
    </row>
    <row r="73" spans="1:25" ht="30" customHeight="1">
      <c r="A73" s="2" t="s">
        <v>719</v>
      </c>
      <c r="B73" s="2"/>
      <c r="C73" s="2"/>
      <c r="D73" s="2"/>
      <c r="E73" s="2"/>
      <c r="R73" s="11">
        <f>SUM(R2:R71)</f>
        <v>929.2799999999997</v>
      </c>
      <c r="S73" s="11">
        <f>SUM(S2:S71)</f>
        <v>9292.800000000003</v>
      </c>
      <c r="V73" s="11">
        <f>SUM(V2:V71)</f>
        <v>23874.218000000008</v>
      </c>
      <c r="W73" s="11">
        <f>SUM(W2:W71)</f>
        <v>233674.4779999999</v>
      </c>
    </row>
    <row r="74" spans="1:25" ht="30" customHeight="1">
      <c r="A74" s="2" t="s">
        <v>720</v>
      </c>
      <c r="B74" s="2"/>
      <c r="C74" s="2"/>
      <c r="D74" s="2"/>
      <c r="E74" s="2"/>
      <c r="R74" s="11">
        <f>SUMPRODUCT(G2:G71,R2:R71)</f>
        <v>0</v>
      </c>
      <c r="S74" s="11">
        <f>SUMPRODUCT(G2:G71,S2:S71)</f>
        <v>0</v>
      </c>
      <c r="V74" s="11">
        <f>SUMPRODUCT(G2:G71,V2:V71)</f>
        <v>0</v>
      </c>
      <c r="W74" s="11">
        <f>SUMPRODUCT(G2:G71,W2:W71)</f>
        <v>0</v>
      </c>
    </row>
  </sheetData>
  <autoFilter ref="A1:Y71"/>
  <mergeCells count="2">
    <mergeCell ref="A73:E73"/>
    <mergeCell ref="A74:E74"/>
  </mergeCells>
  <dataValidations count="280">
    <dataValidation type="whole" allowBlank="1" showInputMessage="1" showErrorMessage="1" sqref="G2">
      <formula1>0</formula1>
      <formula2>1</formula2>
    </dataValidation>
    <dataValidation type="whole" allowBlank="1" showInputMessage="1" showErrorMessage="1" sqref="H2:I2">
      <formula1>0</formula1>
      <formula2>1000000</formula2>
    </dataValidation>
    <dataValidation type="whole" allowBlank="1" showInputMessage="1" showErrorMessage="1" sqref="J2:K2">
      <formula1>1</formula1>
      <formula2>100000</formula2>
    </dataValidation>
    <dataValidation type="decimal" allowBlank="1" showInputMessage="1" showErrorMessage="1" sqref="L2">
      <formula1>0</formula1>
      <formula2>10</formula2>
    </dataValidation>
    <dataValidation type="whole" allowBlank="1" showInputMessage="1" showErrorMessage="1" sqref="G3">
      <formula1>0</formula1>
      <formula2>1</formula2>
    </dataValidation>
    <dataValidation type="whole" allowBlank="1" showInputMessage="1" showErrorMessage="1" sqref="H3:I3">
      <formula1>0</formula1>
      <formula2>1000000</formula2>
    </dataValidation>
    <dataValidation type="whole" allowBlank="1" showInputMessage="1" showErrorMessage="1" sqref="J3:K3">
      <formula1>1</formula1>
      <formula2>100000</formula2>
    </dataValidation>
    <dataValidation type="decimal" allowBlank="1" showInputMessage="1" showErrorMessage="1" sqref="L3">
      <formula1>0</formula1>
      <formula2>10</formula2>
    </dataValidation>
    <dataValidation type="whole" allowBlank="1" showInputMessage="1" showErrorMessage="1" sqref="G4">
      <formula1>0</formula1>
      <formula2>1</formula2>
    </dataValidation>
    <dataValidation type="whole" allowBlank="1" showInputMessage="1" showErrorMessage="1" sqref="H4:I4">
      <formula1>0</formula1>
      <formula2>1000000</formula2>
    </dataValidation>
    <dataValidation type="whole" allowBlank="1" showInputMessage="1" showErrorMessage="1" sqref="J4:K4">
      <formula1>1</formula1>
      <formula2>100000</formula2>
    </dataValidation>
    <dataValidation type="decimal" allowBlank="1" showInputMessage="1" showErrorMessage="1" sqref="L4">
      <formula1>0</formula1>
      <formula2>10</formula2>
    </dataValidation>
    <dataValidation type="whole" allowBlank="1" showInputMessage="1" showErrorMessage="1" sqref="G5">
      <formula1>0</formula1>
      <formula2>1</formula2>
    </dataValidation>
    <dataValidation type="whole" allowBlank="1" showInputMessage="1" showErrorMessage="1" sqref="H5:I5">
      <formula1>0</formula1>
      <formula2>1000000</formula2>
    </dataValidation>
    <dataValidation type="whole" allowBlank="1" showInputMessage="1" showErrorMessage="1" sqref="J5:K5">
      <formula1>1</formula1>
      <formula2>100000</formula2>
    </dataValidation>
    <dataValidation type="decimal" allowBlank="1" showInputMessage="1" showErrorMessage="1" sqref="L5">
      <formula1>0</formula1>
      <formula2>10</formula2>
    </dataValidation>
    <dataValidation type="whole" allowBlank="1" showInputMessage="1" showErrorMessage="1" sqref="G6">
      <formula1>0</formula1>
      <formula2>1</formula2>
    </dataValidation>
    <dataValidation type="whole" allowBlank="1" showInputMessage="1" showErrorMessage="1" sqref="H6:I6">
      <formula1>0</formula1>
      <formula2>1000000</formula2>
    </dataValidation>
    <dataValidation type="whole" allowBlank="1" showInputMessage="1" showErrorMessage="1" sqref="J6:K6">
      <formula1>1</formula1>
      <formula2>100000</formula2>
    </dataValidation>
    <dataValidation type="decimal" allowBlank="1" showInputMessage="1" showErrorMessage="1" sqref="L6">
      <formula1>0</formula1>
      <formula2>10</formula2>
    </dataValidation>
    <dataValidation type="whole" allowBlank="1" showInputMessage="1" showErrorMessage="1" sqref="G7">
      <formula1>0</formula1>
      <formula2>1</formula2>
    </dataValidation>
    <dataValidation type="whole" allowBlank="1" showInputMessage="1" showErrorMessage="1" sqref="H7:I7">
      <formula1>0</formula1>
      <formula2>1000000</formula2>
    </dataValidation>
    <dataValidation type="whole" allowBlank="1" showInputMessage="1" showErrorMessage="1" sqref="J7:K7">
      <formula1>1</formula1>
      <formula2>100000</formula2>
    </dataValidation>
    <dataValidation type="decimal" allowBlank="1" showInputMessage="1" showErrorMessage="1" sqref="L7">
      <formula1>0</formula1>
      <formula2>10</formula2>
    </dataValidation>
    <dataValidation type="whole" allowBlank="1" showInputMessage="1" showErrorMessage="1" sqref="G8">
      <formula1>0</formula1>
      <formula2>1</formula2>
    </dataValidation>
    <dataValidation type="whole" allowBlank="1" showInputMessage="1" showErrorMessage="1" sqref="H8:I8">
      <formula1>0</formula1>
      <formula2>1000000</formula2>
    </dataValidation>
    <dataValidation type="whole" allowBlank="1" showInputMessage="1" showErrorMessage="1" sqref="J8:K8">
      <formula1>1</formula1>
      <formula2>100000</formula2>
    </dataValidation>
    <dataValidation type="decimal" allowBlank="1" showInputMessage="1" showErrorMessage="1" sqref="L8">
      <formula1>0</formula1>
      <formula2>10</formula2>
    </dataValidation>
    <dataValidation type="whole" allowBlank="1" showInputMessage="1" showErrorMessage="1" sqref="G9">
      <formula1>0</formula1>
      <formula2>1</formula2>
    </dataValidation>
    <dataValidation type="whole" allowBlank="1" showInputMessage="1" showErrorMessage="1" sqref="H9:I9">
      <formula1>0</formula1>
      <formula2>1000000</formula2>
    </dataValidation>
    <dataValidation type="whole" allowBlank="1" showInputMessage="1" showErrorMessage="1" sqref="J9:K9">
      <formula1>1</formula1>
      <formula2>100000</formula2>
    </dataValidation>
    <dataValidation type="decimal" allowBlank="1" showInputMessage="1" showErrorMessage="1" sqref="L9">
      <formula1>0</formula1>
      <formula2>10</formula2>
    </dataValidation>
    <dataValidation type="whole" allowBlank="1" showInputMessage="1" showErrorMessage="1" sqref="G10">
      <formula1>0</formula1>
      <formula2>1</formula2>
    </dataValidation>
    <dataValidation type="whole" allowBlank="1" showInputMessage="1" showErrorMessage="1" sqref="H10:I10">
      <formula1>0</formula1>
      <formula2>1000000</formula2>
    </dataValidation>
    <dataValidation type="whole" allowBlank="1" showInputMessage="1" showErrorMessage="1" sqref="J10:K10">
      <formula1>1</formula1>
      <formula2>100000</formula2>
    </dataValidation>
    <dataValidation type="decimal" allowBlank="1" showInputMessage="1" showErrorMessage="1" sqref="L10">
      <formula1>0</formula1>
      <formula2>10</formula2>
    </dataValidation>
    <dataValidation type="whole" allowBlank="1" showInputMessage="1" showErrorMessage="1" sqref="G11">
      <formula1>0</formula1>
      <formula2>1</formula2>
    </dataValidation>
    <dataValidation type="whole" allowBlank="1" showInputMessage="1" showErrorMessage="1" sqref="H11:I11">
      <formula1>0</formula1>
      <formula2>1000000</formula2>
    </dataValidation>
    <dataValidation type="whole" allowBlank="1" showInputMessage="1" showErrorMessage="1" sqref="J11:K11">
      <formula1>1</formula1>
      <formula2>100000</formula2>
    </dataValidation>
    <dataValidation type="decimal" allowBlank="1" showInputMessage="1" showErrorMessage="1" sqref="L11">
      <formula1>0</formula1>
      <formula2>10</formula2>
    </dataValidation>
    <dataValidation type="whole" allowBlank="1" showInputMessage="1" showErrorMessage="1" sqref="G12">
      <formula1>0</formula1>
      <formula2>1</formula2>
    </dataValidation>
    <dataValidation type="whole" allowBlank="1" showInputMessage="1" showErrorMessage="1" sqref="H12:I12">
      <formula1>0</formula1>
      <formula2>1000000</formula2>
    </dataValidation>
    <dataValidation type="whole" allowBlank="1" showInputMessage="1" showErrorMessage="1" sqref="J12:K12">
      <formula1>1</formula1>
      <formula2>100000</formula2>
    </dataValidation>
    <dataValidation type="decimal" allowBlank="1" showInputMessage="1" showErrorMessage="1" sqref="L12">
      <formula1>0</formula1>
      <formula2>10</formula2>
    </dataValidation>
    <dataValidation type="whole" allowBlank="1" showInputMessage="1" showErrorMessage="1" sqref="G13">
      <formula1>0</formula1>
      <formula2>1</formula2>
    </dataValidation>
    <dataValidation type="whole" allowBlank="1" showInputMessage="1" showErrorMessage="1" sqref="H13:I13">
      <formula1>0</formula1>
      <formula2>1000000</formula2>
    </dataValidation>
    <dataValidation type="whole" allowBlank="1" showInputMessage="1" showErrorMessage="1" sqref="J13:K13">
      <formula1>1</formula1>
      <formula2>100000</formula2>
    </dataValidation>
    <dataValidation type="decimal" allowBlank="1" showInputMessage="1" showErrorMessage="1" sqref="L13">
      <formula1>0</formula1>
      <formula2>10</formula2>
    </dataValidation>
    <dataValidation type="whole" allowBlank="1" showInputMessage="1" showErrorMessage="1" sqref="G14">
      <formula1>0</formula1>
      <formula2>1</formula2>
    </dataValidation>
    <dataValidation type="whole" allowBlank="1" showInputMessage="1" showErrorMessage="1" sqref="H14:I14">
      <formula1>0</formula1>
      <formula2>1000000</formula2>
    </dataValidation>
    <dataValidation type="whole" allowBlank="1" showInputMessage="1" showErrorMessage="1" sqref="J14:K14">
      <formula1>1</formula1>
      <formula2>100000</formula2>
    </dataValidation>
    <dataValidation type="decimal" allowBlank="1" showInputMessage="1" showErrorMessage="1" sqref="L14">
      <formula1>0</formula1>
      <formula2>10</formula2>
    </dataValidation>
    <dataValidation type="whole" allowBlank="1" showInputMessage="1" showErrorMessage="1" sqref="G15">
      <formula1>0</formula1>
      <formula2>1</formula2>
    </dataValidation>
    <dataValidation type="whole" allowBlank="1" showInputMessage="1" showErrorMessage="1" sqref="H15:I15">
      <formula1>0</formula1>
      <formula2>1000000</formula2>
    </dataValidation>
    <dataValidation type="whole" allowBlank="1" showInputMessage="1" showErrorMessage="1" sqref="J15:K15">
      <formula1>1</formula1>
      <formula2>100000</formula2>
    </dataValidation>
    <dataValidation type="decimal" allowBlank="1" showInputMessage="1" showErrorMessage="1" sqref="L15">
      <formula1>0</formula1>
      <formula2>10</formula2>
    </dataValidation>
    <dataValidation type="whole" allowBlank="1" showInputMessage="1" showErrorMessage="1" sqref="G16">
      <formula1>0</formula1>
      <formula2>1</formula2>
    </dataValidation>
    <dataValidation type="whole" allowBlank="1" showInputMessage="1" showErrorMessage="1" sqref="H16:I16">
      <formula1>0</formula1>
      <formula2>1000000</formula2>
    </dataValidation>
    <dataValidation type="whole" allowBlank="1" showInputMessage="1" showErrorMessage="1" sqref="J16:K16">
      <formula1>1</formula1>
      <formula2>100000</formula2>
    </dataValidation>
    <dataValidation type="decimal" allowBlank="1" showInputMessage="1" showErrorMessage="1" sqref="L16">
      <formula1>0</formula1>
      <formula2>10</formula2>
    </dataValidation>
    <dataValidation type="whole" allowBlank="1" showInputMessage="1" showErrorMessage="1" sqref="G17">
      <formula1>0</formula1>
      <formula2>1</formula2>
    </dataValidation>
    <dataValidation type="whole" allowBlank="1" showInputMessage="1" showErrorMessage="1" sqref="H17:I17">
      <formula1>0</formula1>
      <formula2>1000000</formula2>
    </dataValidation>
    <dataValidation type="whole" allowBlank="1" showInputMessage="1" showErrorMessage="1" sqref="J17:K17">
      <formula1>1</formula1>
      <formula2>100000</formula2>
    </dataValidation>
    <dataValidation type="decimal" allowBlank="1" showInputMessage="1" showErrorMessage="1" sqref="L17">
      <formula1>0</formula1>
      <formula2>10</formula2>
    </dataValidation>
    <dataValidation type="whole" allowBlank="1" showInputMessage="1" showErrorMessage="1" sqref="G18">
      <formula1>0</formula1>
      <formula2>1</formula2>
    </dataValidation>
    <dataValidation type="whole" allowBlank="1" showInputMessage="1" showErrorMessage="1" sqref="H18:I18">
      <formula1>0</formula1>
      <formula2>1000000</formula2>
    </dataValidation>
    <dataValidation type="whole" allowBlank="1" showInputMessage="1" showErrorMessage="1" sqref="J18:K18">
      <formula1>1</formula1>
      <formula2>100000</formula2>
    </dataValidation>
    <dataValidation type="decimal" allowBlank="1" showInputMessage="1" showErrorMessage="1" sqref="L18">
      <formula1>0</formula1>
      <formula2>10</formula2>
    </dataValidation>
    <dataValidation type="whole" allowBlank="1" showInputMessage="1" showErrorMessage="1" sqref="G19">
      <formula1>0</formula1>
      <formula2>1</formula2>
    </dataValidation>
    <dataValidation type="whole" allowBlank="1" showInputMessage="1" showErrorMessage="1" sqref="H19:I19">
      <formula1>0</formula1>
      <formula2>1000000</formula2>
    </dataValidation>
    <dataValidation type="whole" allowBlank="1" showInputMessage="1" showErrorMessage="1" sqref="J19:K19">
      <formula1>1</formula1>
      <formula2>100000</formula2>
    </dataValidation>
    <dataValidation type="decimal" allowBlank="1" showInputMessage="1" showErrorMessage="1" sqref="L19">
      <formula1>0</formula1>
      <formula2>10</formula2>
    </dataValidation>
    <dataValidation type="whole" allowBlank="1" showInputMessage="1" showErrorMessage="1" sqref="G20">
      <formula1>0</formula1>
      <formula2>1</formula2>
    </dataValidation>
    <dataValidation type="whole" allowBlank="1" showInputMessage="1" showErrorMessage="1" sqref="H20:I20">
      <formula1>0</formula1>
      <formula2>1000000</formula2>
    </dataValidation>
    <dataValidation type="whole" allowBlank="1" showInputMessage="1" showErrorMessage="1" sqref="J20:K20">
      <formula1>1</formula1>
      <formula2>100000</formula2>
    </dataValidation>
    <dataValidation type="decimal" allowBlank="1" showInputMessage="1" showErrorMessage="1" sqref="L20">
      <formula1>0</formula1>
      <formula2>10</formula2>
    </dataValidation>
    <dataValidation type="whole" allowBlank="1" showInputMessage="1" showErrorMessage="1" sqref="G21">
      <formula1>0</formula1>
      <formula2>1</formula2>
    </dataValidation>
    <dataValidation type="whole" allowBlank="1" showInputMessage="1" showErrorMessage="1" sqref="H21:I21">
      <formula1>0</formula1>
      <formula2>1000000</formula2>
    </dataValidation>
    <dataValidation type="whole" allowBlank="1" showInputMessage="1" showErrorMessage="1" sqref="J21:K21">
      <formula1>1</formula1>
      <formula2>100000</formula2>
    </dataValidation>
    <dataValidation type="decimal" allowBlank="1" showInputMessage="1" showErrorMessage="1" sqref="L21">
      <formula1>0</formula1>
      <formula2>10</formula2>
    </dataValidation>
    <dataValidation type="whole" allowBlank="1" showInputMessage="1" showErrorMessage="1" sqref="G22">
      <formula1>0</formula1>
      <formula2>1</formula2>
    </dataValidation>
    <dataValidation type="whole" allowBlank="1" showInputMessage="1" showErrorMessage="1" sqref="H22:I22">
      <formula1>0</formula1>
      <formula2>1000000</formula2>
    </dataValidation>
    <dataValidation type="whole" allowBlank="1" showInputMessage="1" showErrorMessage="1" sqref="J22:K22">
      <formula1>1</formula1>
      <formula2>100000</formula2>
    </dataValidation>
    <dataValidation type="decimal" allowBlank="1" showInputMessage="1" showErrorMessage="1" sqref="L22">
      <formula1>0</formula1>
      <formula2>10</formula2>
    </dataValidation>
    <dataValidation type="whole" allowBlank="1" showInputMessage="1" showErrorMessage="1" sqref="G23">
      <formula1>0</formula1>
      <formula2>1</formula2>
    </dataValidation>
    <dataValidation type="whole" allowBlank="1" showInputMessage="1" showErrorMessage="1" sqref="H23:I23">
      <formula1>0</formula1>
      <formula2>1000000</formula2>
    </dataValidation>
    <dataValidation type="whole" allowBlank="1" showInputMessage="1" showErrorMessage="1" sqref="J23:K23">
      <formula1>1</formula1>
      <formula2>100000</formula2>
    </dataValidation>
    <dataValidation type="decimal" allowBlank="1" showInputMessage="1" showErrorMessage="1" sqref="L23">
      <formula1>0</formula1>
      <formula2>10</formula2>
    </dataValidation>
    <dataValidation type="whole" allowBlank="1" showInputMessage="1" showErrorMessage="1" sqref="G24">
      <formula1>0</formula1>
      <formula2>1</formula2>
    </dataValidation>
    <dataValidation type="whole" allowBlank="1" showInputMessage="1" showErrorMessage="1" sqref="H24:I24">
      <formula1>0</formula1>
      <formula2>1000000</formula2>
    </dataValidation>
    <dataValidation type="whole" allowBlank="1" showInputMessage="1" showErrorMessage="1" sqref="J24:K24">
      <formula1>1</formula1>
      <formula2>100000</formula2>
    </dataValidation>
    <dataValidation type="decimal" allowBlank="1" showInputMessage="1" showErrorMessage="1" sqref="L24">
      <formula1>0</formula1>
      <formula2>10</formula2>
    </dataValidation>
    <dataValidation type="whole" allowBlank="1" showInputMessage="1" showErrorMessage="1" sqref="G25">
      <formula1>0</formula1>
      <formula2>1</formula2>
    </dataValidation>
    <dataValidation type="whole" allowBlank="1" showInputMessage="1" showErrorMessage="1" sqref="H25:I25">
      <formula1>0</formula1>
      <formula2>1000000</formula2>
    </dataValidation>
    <dataValidation type="whole" allowBlank="1" showInputMessage="1" showErrorMessage="1" sqref="J25:K25">
      <formula1>1</formula1>
      <formula2>100000</formula2>
    </dataValidation>
    <dataValidation type="decimal" allowBlank="1" showInputMessage="1" showErrorMessage="1" sqref="L25">
      <formula1>0</formula1>
      <formula2>10</formula2>
    </dataValidation>
    <dataValidation type="whole" allowBlank="1" showInputMessage="1" showErrorMessage="1" sqref="G26">
      <formula1>0</formula1>
      <formula2>1</formula2>
    </dataValidation>
    <dataValidation type="whole" allowBlank="1" showInputMessage="1" showErrorMessage="1" sqref="H26:I26">
      <formula1>0</formula1>
      <formula2>1000000</formula2>
    </dataValidation>
    <dataValidation type="whole" allowBlank="1" showInputMessage="1" showErrorMessage="1" sqref="J26:K26">
      <formula1>1</formula1>
      <formula2>100000</formula2>
    </dataValidation>
    <dataValidation type="decimal" allowBlank="1" showInputMessage="1" showErrorMessage="1" sqref="L26">
      <formula1>0</formula1>
      <formula2>10</formula2>
    </dataValidation>
    <dataValidation type="whole" allowBlank="1" showInputMessage="1" showErrorMessage="1" sqref="G27">
      <formula1>0</formula1>
      <formula2>1</formula2>
    </dataValidation>
    <dataValidation type="whole" allowBlank="1" showInputMessage="1" showErrorMessage="1" sqref="H27:I27">
      <formula1>0</formula1>
      <formula2>1000000</formula2>
    </dataValidation>
    <dataValidation type="whole" allowBlank="1" showInputMessage="1" showErrorMessage="1" sqref="J27:K27">
      <formula1>1</formula1>
      <formula2>100000</formula2>
    </dataValidation>
    <dataValidation type="decimal" allowBlank="1" showInputMessage="1" showErrorMessage="1" sqref="L27">
      <formula1>0</formula1>
      <formula2>10</formula2>
    </dataValidation>
    <dataValidation type="whole" allowBlank="1" showInputMessage="1" showErrorMessage="1" sqref="G28">
      <formula1>0</formula1>
      <formula2>1</formula2>
    </dataValidation>
    <dataValidation type="whole" allowBlank="1" showInputMessage="1" showErrorMessage="1" sqref="H28:I28">
      <formula1>0</formula1>
      <formula2>1000000</formula2>
    </dataValidation>
    <dataValidation type="whole" allowBlank="1" showInputMessage="1" showErrorMessage="1" sqref="J28:K28">
      <formula1>1</formula1>
      <formula2>100000</formula2>
    </dataValidation>
    <dataValidation type="decimal" allowBlank="1" showInputMessage="1" showErrorMessage="1" sqref="L28">
      <formula1>0</formula1>
      <formula2>10</formula2>
    </dataValidation>
    <dataValidation type="whole" allowBlank="1" showInputMessage="1" showErrorMessage="1" sqref="G29">
      <formula1>0</formula1>
      <formula2>1</formula2>
    </dataValidation>
    <dataValidation type="whole" allowBlank="1" showInputMessage="1" showErrorMessage="1" sqref="H29:I29">
      <formula1>0</formula1>
      <formula2>1000000</formula2>
    </dataValidation>
    <dataValidation type="whole" allowBlank="1" showInputMessage="1" showErrorMessage="1" sqref="J29:K29">
      <formula1>1</formula1>
      <formula2>100000</formula2>
    </dataValidation>
    <dataValidation type="decimal" allowBlank="1" showInputMessage="1" showErrorMessage="1" sqref="L29">
      <formula1>0</formula1>
      <formula2>10</formula2>
    </dataValidation>
    <dataValidation type="whole" allowBlank="1" showInputMessage="1" showErrorMessage="1" sqref="G30">
      <formula1>0</formula1>
      <formula2>1</formula2>
    </dataValidation>
    <dataValidation type="whole" allowBlank="1" showInputMessage="1" showErrorMessage="1" sqref="H30:I30">
      <formula1>0</formula1>
      <formula2>1000000</formula2>
    </dataValidation>
    <dataValidation type="whole" allowBlank="1" showInputMessage="1" showErrorMessage="1" sqref="J30:K30">
      <formula1>1</formula1>
      <formula2>100000</formula2>
    </dataValidation>
    <dataValidation type="decimal" allowBlank="1" showInputMessage="1" showErrorMessage="1" sqref="L30">
      <formula1>0</formula1>
      <formula2>10</formula2>
    </dataValidation>
    <dataValidation type="whole" allowBlank="1" showInputMessage="1" showErrorMessage="1" sqref="G31">
      <formula1>0</formula1>
      <formula2>1</formula2>
    </dataValidation>
    <dataValidation type="whole" allowBlank="1" showInputMessage="1" showErrorMessage="1" sqref="H31:I31">
      <formula1>0</formula1>
      <formula2>1000000</formula2>
    </dataValidation>
    <dataValidation type="whole" allowBlank="1" showInputMessage="1" showErrorMessage="1" sqref="J31:K31">
      <formula1>1</formula1>
      <formula2>100000</formula2>
    </dataValidation>
    <dataValidation type="decimal" allowBlank="1" showInputMessage="1" showErrorMessage="1" sqref="L31">
      <formula1>0</formula1>
      <formula2>10</formula2>
    </dataValidation>
    <dataValidation type="whole" allowBlank="1" showInputMessage="1" showErrorMessage="1" sqref="G32">
      <formula1>0</formula1>
      <formula2>1</formula2>
    </dataValidation>
    <dataValidation type="whole" allowBlank="1" showInputMessage="1" showErrorMessage="1" sqref="H32:I32">
      <formula1>0</formula1>
      <formula2>1000000</formula2>
    </dataValidation>
    <dataValidation type="whole" allowBlank="1" showInputMessage="1" showErrorMessage="1" sqref="J32:K32">
      <formula1>1</formula1>
      <formula2>100000</formula2>
    </dataValidation>
    <dataValidation type="decimal" allowBlank="1" showInputMessage="1" showErrorMessage="1" sqref="L32">
      <formula1>0</formula1>
      <formula2>10</formula2>
    </dataValidation>
    <dataValidation type="whole" allowBlank="1" showInputMessage="1" showErrorMessage="1" sqref="G33">
      <formula1>0</formula1>
      <formula2>1</formula2>
    </dataValidation>
    <dataValidation type="whole" allowBlank="1" showInputMessage="1" showErrorMessage="1" sqref="H33:I33">
      <formula1>0</formula1>
      <formula2>1000000</formula2>
    </dataValidation>
    <dataValidation type="whole" allowBlank="1" showInputMessage="1" showErrorMessage="1" sqref="J33:K33">
      <formula1>1</formula1>
      <formula2>100000</formula2>
    </dataValidation>
    <dataValidation type="decimal" allowBlank="1" showInputMessage="1" showErrorMessage="1" sqref="L33">
      <formula1>0</formula1>
      <formula2>10</formula2>
    </dataValidation>
    <dataValidation type="whole" allowBlank="1" showInputMessage="1" showErrorMessage="1" sqref="G34">
      <formula1>0</formula1>
      <formula2>1</formula2>
    </dataValidation>
    <dataValidation type="whole" allowBlank="1" showInputMessage="1" showErrorMessage="1" sqref="H34:I34">
      <formula1>0</formula1>
      <formula2>1000000</formula2>
    </dataValidation>
    <dataValidation type="whole" allowBlank="1" showInputMessage="1" showErrorMessage="1" sqref="J34:K34">
      <formula1>1</formula1>
      <formula2>100000</formula2>
    </dataValidation>
    <dataValidation type="decimal" allowBlank="1" showInputMessage="1" showErrorMessage="1" sqref="L34">
      <formula1>0</formula1>
      <formula2>10</formula2>
    </dataValidation>
    <dataValidation type="whole" allowBlank="1" showInputMessage="1" showErrorMessage="1" sqref="G35">
      <formula1>0</formula1>
      <formula2>1</formula2>
    </dataValidation>
    <dataValidation type="whole" allowBlank="1" showInputMessage="1" showErrorMessage="1" sqref="H35:I35">
      <formula1>0</formula1>
      <formula2>1000000</formula2>
    </dataValidation>
    <dataValidation type="whole" allowBlank="1" showInputMessage="1" showErrorMessage="1" sqref="J35:K35">
      <formula1>1</formula1>
      <formula2>100000</formula2>
    </dataValidation>
    <dataValidation type="decimal" allowBlank="1" showInputMessage="1" showErrorMessage="1" sqref="L35">
      <formula1>0</formula1>
      <formula2>10</formula2>
    </dataValidation>
    <dataValidation type="whole" allowBlank="1" showInputMessage="1" showErrorMessage="1" sqref="G36">
      <formula1>0</formula1>
      <formula2>1</formula2>
    </dataValidation>
    <dataValidation type="whole" allowBlank="1" showInputMessage="1" showErrorMessage="1" sqref="H36:I36">
      <formula1>0</formula1>
      <formula2>1000000</formula2>
    </dataValidation>
    <dataValidation type="whole" allowBlank="1" showInputMessage="1" showErrorMessage="1" sqref="J36:K36">
      <formula1>1</formula1>
      <formula2>100000</formula2>
    </dataValidation>
    <dataValidation type="decimal" allowBlank="1" showInputMessage="1" showErrorMessage="1" sqref="L36">
      <formula1>0</formula1>
      <formula2>10</formula2>
    </dataValidation>
    <dataValidation type="whole" allowBlank="1" showInputMessage="1" showErrorMessage="1" sqref="G37">
      <formula1>0</formula1>
      <formula2>1</formula2>
    </dataValidation>
    <dataValidation type="whole" allowBlank="1" showInputMessage="1" showErrorMessage="1" sqref="H37:I37">
      <formula1>0</formula1>
      <formula2>1000000</formula2>
    </dataValidation>
    <dataValidation type="whole" allowBlank="1" showInputMessage="1" showErrorMessage="1" sqref="J37:K37">
      <formula1>1</formula1>
      <formula2>100000</formula2>
    </dataValidation>
    <dataValidation type="decimal" allowBlank="1" showInputMessage="1" showErrorMessage="1" sqref="L37">
      <formula1>0</formula1>
      <formula2>10</formula2>
    </dataValidation>
    <dataValidation type="whole" allowBlank="1" showInputMessage="1" showErrorMessage="1" sqref="G38">
      <formula1>0</formula1>
      <formula2>1</formula2>
    </dataValidation>
    <dataValidation type="whole" allowBlank="1" showInputMessage="1" showErrorMessage="1" sqref="H38:I38">
      <formula1>0</formula1>
      <formula2>1000000</formula2>
    </dataValidation>
    <dataValidation type="whole" allowBlank="1" showInputMessage="1" showErrorMessage="1" sqref="J38:K38">
      <formula1>1</formula1>
      <formula2>100000</formula2>
    </dataValidation>
    <dataValidation type="decimal" allowBlank="1" showInputMessage="1" showErrorMessage="1" sqref="L38">
      <formula1>0</formula1>
      <formula2>10</formula2>
    </dataValidation>
    <dataValidation type="whole" allowBlank="1" showInputMessage="1" showErrorMessage="1" sqref="G39">
      <formula1>0</formula1>
      <formula2>1</formula2>
    </dataValidation>
    <dataValidation type="whole" allowBlank="1" showInputMessage="1" showErrorMessage="1" sqref="H39:I39">
      <formula1>0</formula1>
      <formula2>1000000</formula2>
    </dataValidation>
    <dataValidation type="whole" allowBlank="1" showInputMessage="1" showErrorMessage="1" sqref="J39:K39">
      <formula1>1</formula1>
      <formula2>100000</formula2>
    </dataValidation>
    <dataValidation type="decimal" allowBlank="1" showInputMessage="1" showErrorMessage="1" sqref="L39">
      <formula1>0</formula1>
      <formula2>10</formula2>
    </dataValidation>
    <dataValidation type="whole" allowBlank="1" showInputMessage="1" showErrorMessage="1" sqref="G40">
      <formula1>0</formula1>
      <formula2>1</formula2>
    </dataValidation>
    <dataValidation type="whole" allowBlank="1" showInputMessage="1" showErrorMessage="1" sqref="H40:I40">
      <formula1>0</formula1>
      <formula2>1000000</formula2>
    </dataValidation>
    <dataValidation type="whole" allowBlank="1" showInputMessage="1" showErrorMessage="1" sqref="J40:K40">
      <formula1>1</formula1>
      <formula2>100000</formula2>
    </dataValidation>
    <dataValidation type="decimal" allowBlank="1" showInputMessage="1" showErrorMessage="1" sqref="L40">
      <formula1>0</formula1>
      <formula2>10</formula2>
    </dataValidation>
    <dataValidation type="whole" allowBlank="1" showInputMessage="1" showErrorMessage="1" sqref="G41">
      <formula1>0</formula1>
      <formula2>1</formula2>
    </dataValidation>
    <dataValidation type="whole" allowBlank="1" showInputMessage="1" showErrorMessage="1" sqref="H41:I41">
      <formula1>0</formula1>
      <formula2>1000000</formula2>
    </dataValidation>
    <dataValidation type="whole" allowBlank="1" showInputMessage="1" showErrorMessage="1" sqref="J41:K41">
      <formula1>1</formula1>
      <formula2>100000</formula2>
    </dataValidation>
    <dataValidation type="decimal" allowBlank="1" showInputMessage="1" showErrorMessage="1" sqref="L41">
      <formula1>0</formula1>
      <formula2>10</formula2>
    </dataValidation>
    <dataValidation type="whole" allowBlank="1" showInputMessage="1" showErrorMessage="1" sqref="G42">
      <formula1>0</formula1>
      <formula2>1</formula2>
    </dataValidation>
    <dataValidation type="whole" allowBlank="1" showInputMessage="1" showErrorMessage="1" sqref="H42:I42">
      <formula1>0</formula1>
      <formula2>1000000</formula2>
    </dataValidation>
    <dataValidation type="whole" allowBlank="1" showInputMessage="1" showErrorMessage="1" sqref="J42:K42">
      <formula1>1</formula1>
      <formula2>100000</formula2>
    </dataValidation>
    <dataValidation type="decimal" allowBlank="1" showInputMessage="1" showErrorMessage="1" sqref="L42">
      <formula1>0</formula1>
      <formula2>10</formula2>
    </dataValidation>
    <dataValidation type="whole" allowBlank="1" showInputMessage="1" showErrorMessage="1" sqref="G43">
      <formula1>0</formula1>
      <formula2>1</formula2>
    </dataValidation>
    <dataValidation type="whole" allowBlank="1" showInputMessage="1" showErrorMessage="1" sqref="H43:I43">
      <formula1>0</formula1>
      <formula2>1000000</formula2>
    </dataValidation>
    <dataValidation type="whole" allowBlank="1" showInputMessage="1" showErrorMessage="1" sqref="J43:K43">
      <formula1>1</formula1>
      <formula2>100000</formula2>
    </dataValidation>
    <dataValidation type="decimal" allowBlank="1" showInputMessage="1" showErrorMessage="1" sqref="L43">
      <formula1>0</formula1>
      <formula2>10</formula2>
    </dataValidation>
    <dataValidation type="whole" allowBlank="1" showInputMessage="1" showErrorMessage="1" sqref="G44">
      <formula1>0</formula1>
      <formula2>1</formula2>
    </dataValidation>
    <dataValidation type="whole" allowBlank="1" showInputMessage="1" showErrorMessage="1" sqref="H44:I44">
      <formula1>0</formula1>
      <formula2>1000000</formula2>
    </dataValidation>
    <dataValidation type="whole" allowBlank="1" showInputMessage="1" showErrorMessage="1" sqref="J44:K44">
      <formula1>1</formula1>
      <formula2>100000</formula2>
    </dataValidation>
    <dataValidation type="decimal" allowBlank="1" showInputMessage="1" showErrorMessage="1" sqref="L44">
      <formula1>0</formula1>
      <formula2>10</formula2>
    </dataValidation>
    <dataValidation type="whole" allowBlank="1" showInputMessage="1" showErrorMessage="1" sqref="G45">
      <formula1>0</formula1>
      <formula2>1</formula2>
    </dataValidation>
    <dataValidation type="whole" allowBlank="1" showInputMessage="1" showErrorMessage="1" sqref="H45:I45">
      <formula1>0</formula1>
      <formula2>1000000</formula2>
    </dataValidation>
    <dataValidation type="whole" allowBlank="1" showInputMessage="1" showErrorMessage="1" sqref="J45:K45">
      <formula1>1</formula1>
      <formula2>100000</formula2>
    </dataValidation>
    <dataValidation type="decimal" allowBlank="1" showInputMessage="1" showErrorMessage="1" sqref="L45">
      <formula1>0</formula1>
      <formula2>10</formula2>
    </dataValidation>
    <dataValidation type="whole" allowBlank="1" showInputMessage="1" showErrorMessage="1" sqref="G46">
      <formula1>0</formula1>
      <formula2>1</formula2>
    </dataValidation>
    <dataValidation type="whole" allowBlank="1" showInputMessage="1" showErrorMessage="1" sqref="H46:I46">
      <formula1>0</formula1>
      <formula2>1000000</formula2>
    </dataValidation>
    <dataValidation type="whole" allowBlank="1" showInputMessage="1" showErrorMessage="1" sqref="J46:K46">
      <formula1>1</formula1>
      <formula2>100000</formula2>
    </dataValidation>
    <dataValidation type="decimal" allowBlank="1" showInputMessage="1" showErrorMessage="1" sqref="L46">
      <formula1>0</formula1>
      <formula2>10</formula2>
    </dataValidation>
    <dataValidation type="whole" allowBlank="1" showInputMessage="1" showErrorMessage="1" sqref="G47">
      <formula1>0</formula1>
      <formula2>1</formula2>
    </dataValidation>
    <dataValidation type="whole" allowBlank="1" showInputMessage="1" showErrorMessage="1" sqref="H47:I47">
      <formula1>0</formula1>
      <formula2>1000000</formula2>
    </dataValidation>
    <dataValidation type="whole" allowBlank="1" showInputMessage="1" showErrorMessage="1" sqref="J47:K47">
      <formula1>1</formula1>
      <formula2>100000</formula2>
    </dataValidation>
    <dataValidation type="decimal" allowBlank="1" showInputMessage="1" showErrorMessage="1" sqref="L47">
      <formula1>0</formula1>
      <formula2>10</formula2>
    </dataValidation>
    <dataValidation type="whole" allowBlank="1" showInputMessage="1" showErrorMessage="1" sqref="G48">
      <formula1>0</formula1>
      <formula2>1</formula2>
    </dataValidation>
    <dataValidation type="whole" allowBlank="1" showInputMessage="1" showErrorMessage="1" sqref="H48:I48">
      <formula1>0</formula1>
      <formula2>1000000</formula2>
    </dataValidation>
    <dataValidation type="whole" allowBlank="1" showInputMessage="1" showErrorMessage="1" sqref="J48:K48">
      <formula1>1</formula1>
      <formula2>100000</formula2>
    </dataValidation>
    <dataValidation type="decimal" allowBlank="1" showInputMessage="1" showErrorMessage="1" sqref="L48">
      <formula1>0</formula1>
      <formula2>10</formula2>
    </dataValidation>
    <dataValidation type="whole" allowBlank="1" showInputMessage="1" showErrorMessage="1" sqref="G49">
      <formula1>0</formula1>
      <formula2>1</formula2>
    </dataValidation>
    <dataValidation type="whole" allowBlank="1" showInputMessage="1" showErrorMessage="1" sqref="H49:I49">
      <formula1>0</formula1>
      <formula2>1000000</formula2>
    </dataValidation>
    <dataValidation type="whole" allowBlank="1" showInputMessage="1" showErrorMessage="1" sqref="J49:K49">
      <formula1>1</formula1>
      <formula2>100000</formula2>
    </dataValidation>
    <dataValidation type="decimal" allowBlank="1" showInputMessage="1" showErrorMessage="1" sqref="L49">
      <formula1>0</formula1>
      <formula2>10</formula2>
    </dataValidation>
    <dataValidation type="whole" allowBlank="1" showInputMessage="1" showErrorMessage="1" sqref="G50">
      <formula1>0</formula1>
      <formula2>1</formula2>
    </dataValidation>
    <dataValidation type="whole" allowBlank="1" showInputMessage="1" showErrorMessage="1" sqref="H50:I50">
      <formula1>0</formula1>
      <formula2>1000000</formula2>
    </dataValidation>
    <dataValidation type="whole" allowBlank="1" showInputMessage="1" showErrorMessage="1" sqref="J50:K50">
      <formula1>1</formula1>
      <formula2>100000</formula2>
    </dataValidation>
    <dataValidation type="decimal" allowBlank="1" showInputMessage="1" showErrorMessage="1" sqref="L50">
      <formula1>0</formula1>
      <formula2>10</formula2>
    </dataValidation>
    <dataValidation type="whole" allowBlank="1" showInputMessage="1" showErrorMessage="1" sqref="G51">
      <formula1>0</formula1>
      <formula2>1</formula2>
    </dataValidation>
    <dataValidation type="whole" allowBlank="1" showInputMessage="1" showErrorMessage="1" sqref="H51:I51">
      <formula1>0</formula1>
      <formula2>1000000</formula2>
    </dataValidation>
    <dataValidation type="whole" allowBlank="1" showInputMessage="1" showErrorMessage="1" sqref="J51:K51">
      <formula1>1</formula1>
      <formula2>100000</formula2>
    </dataValidation>
    <dataValidation type="decimal" allowBlank="1" showInputMessage="1" showErrorMessage="1" sqref="L51">
      <formula1>0</formula1>
      <formula2>10</formula2>
    </dataValidation>
    <dataValidation type="whole" allowBlank="1" showInputMessage="1" showErrorMessage="1" sqref="G52">
      <formula1>0</formula1>
      <formula2>1</formula2>
    </dataValidation>
    <dataValidation type="whole" allowBlank="1" showInputMessage="1" showErrorMessage="1" sqref="H52:I52">
      <formula1>0</formula1>
      <formula2>1000000</formula2>
    </dataValidation>
    <dataValidation type="whole" allowBlank="1" showInputMessage="1" showErrorMessage="1" sqref="J52:K52">
      <formula1>1</formula1>
      <formula2>100000</formula2>
    </dataValidation>
    <dataValidation type="decimal" allowBlank="1" showInputMessage="1" showErrorMessage="1" sqref="L52">
      <formula1>0</formula1>
      <formula2>10</formula2>
    </dataValidation>
    <dataValidation type="whole" allowBlank="1" showInputMessage="1" showErrorMessage="1" sqref="G53">
      <formula1>0</formula1>
      <formula2>1</formula2>
    </dataValidation>
    <dataValidation type="whole" allowBlank="1" showInputMessage="1" showErrorMessage="1" sqref="H53:I53">
      <formula1>0</formula1>
      <formula2>1000000</formula2>
    </dataValidation>
    <dataValidation type="whole" allowBlank="1" showInputMessage="1" showErrorMessage="1" sqref="J53:K53">
      <formula1>1</formula1>
      <formula2>100000</formula2>
    </dataValidation>
    <dataValidation type="decimal" allowBlank="1" showInputMessage="1" showErrorMessage="1" sqref="L53">
      <formula1>0</formula1>
      <formula2>10</formula2>
    </dataValidation>
    <dataValidation type="whole" allowBlank="1" showInputMessage="1" showErrorMessage="1" sqref="G54">
      <formula1>0</formula1>
      <formula2>1</formula2>
    </dataValidation>
    <dataValidation type="whole" allowBlank="1" showInputMessage="1" showErrorMessage="1" sqref="H54:I54">
      <formula1>0</formula1>
      <formula2>1000000</formula2>
    </dataValidation>
    <dataValidation type="whole" allowBlank="1" showInputMessage="1" showErrorMessage="1" sqref="J54:K54">
      <formula1>1</formula1>
      <formula2>100000</formula2>
    </dataValidation>
    <dataValidation type="decimal" allowBlank="1" showInputMessage="1" showErrorMessage="1" sqref="L54">
      <formula1>0</formula1>
      <formula2>10</formula2>
    </dataValidation>
    <dataValidation type="whole" allowBlank="1" showInputMessage="1" showErrorMessage="1" sqref="G55">
      <formula1>0</formula1>
      <formula2>1</formula2>
    </dataValidation>
    <dataValidation type="whole" allowBlank="1" showInputMessage="1" showErrorMessage="1" sqref="H55:I55">
      <formula1>0</formula1>
      <formula2>1000000</formula2>
    </dataValidation>
    <dataValidation type="whole" allowBlank="1" showInputMessage="1" showErrorMessage="1" sqref="J55:K55">
      <formula1>1</formula1>
      <formula2>100000</formula2>
    </dataValidation>
    <dataValidation type="decimal" allowBlank="1" showInputMessage="1" showErrorMessage="1" sqref="L55">
      <formula1>0</formula1>
      <formula2>10</formula2>
    </dataValidation>
    <dataValidation type="whole" allowBlank="1" showInputMessage="1" showErrorMessage="1" sqref="G56">
      <formula1>0</formula1>
      <formula2>1</formula2>
    </dataValidation>
    <dataValidation type="whole" allowBlank="1" showInputMessage="1" showErrorMessage="1" sqref="H56:I56">
      <formula1>0</formula1>
      <formula2>1000000</formula2>
    </dataValidation>
    <dataValidation type="whole" allowBlank="1" showInputMessage="1" showErrorMessage="1" sqref="J56:K56">
      <formula1>1</formula1>
      <formula2>100000</formula2>
    </dataValidation>
    <dataValidation type="decimal" allowBlank="1" showInputMessage="1" showErrorMessage="1" sqref="L56">
      <formula1>0</formula1>
      <formula2>10</formula2>
    </dataValidation>
    <dataValidation type="whole" allowBlank="1" showInputMessage="1" showErrorMessage="1" sqref="G57">
      <formula1>0</formula1>
      <formula2>1</formula2>
    </dataValidation>
    <dataValidation type="whole" allowBlank="1" showInputMessage="1" showErrorMessage="1" sqref="H57:I57">
      <formula1>0</formula1>
      <formula2>1000000</formula2>
    </dataValidation>
    <dataValidation type="whole" allowBlank="1" showInputMessage="1" showErrorMessage="1" sqref="J57:K57">
      <formula1>1</formula1>
      <formula2>100000</formula2>
    </dataValidation>
    <dataValidation type="decimal" allowBlank="1" showInputMessage="1" showErrorMessage="1" sqref="L57">
      <formula1>0</formula1>
      <formula2>10</formula2>
    </dataValidation>
    <dataValidation type="whole" allowBlank="1" showInputMessage="1" showErrorMessage="1" sqref="G58">
      <formula1>0</formula1>
      <formula2>1</formula2>
    </dataValidation>
    <dataValidation type="whole" allowBlank="1" showInputMessage="1" showErrorMessage="1" sqref="H58:I58">
      <formula1>0</formula1>
      <formula2>1000000</formula2>
    </dataValidation>
    <dataValidation type="whole" allowBlank="1" showInputMessage="1" showErrorMessage="1" sqref="J58:K58">
      <formula1>1</formula1>
      <formula2>100000</formula2>
    </dataValidation>
    <dataValidation type="decimal" allowBlank="1" showInputMessage="1" showErrorMessage="1" sqref="L58">
      <formula1>0</formula1>
      <formula2>10</formula2>
    </dataValidation>
    <dataValidation type="whole" allowBlank="1" showInputMessage="1" showErrorMessage="1" sqref="G59">
      <formula1>0</formula1>
      <formula2>1</formula2>
    </dataValidation>
    <dataValidation type="whole" allowBlank="1" showInputMessage="1" showErrorMessage="1" sqref="H59:I59">
      <formula1>0</formula1>
      <formula2>1000000</formula2>
    </dataValidation>
    <dataValidation type="whole" allowBlank="1" showInputMessage="1" showErrorMessage="1" sqref="J59:K59">
      <formula1>1</formula1>
      <formula2>100000</formula2>
    </dataValidation>
    <dataValidation type="decimal" allowBlank="1" showInputMessage="1" showErrorMessage="1" sqref="L59">
      <formula1>0</formula1>
      <formula2>10</formula2>
    </dataValidation>
    <dataValidation type="whole" allowBlank="1" showInputMessage="1" showErrorMessage="1" sqref="G60">
      <formula1>0</formula1>
      <formula2>1</formula2>
    </dataValidation>
    <dataValidation type="whole" allowBlank="1" showInputMessage="1" showErrorMessage="1" sqref="H60:I60">
      <formula1>0</formula1>
      <formula2>1000000</formula2>
    </dataValidation>
    <dataValidation type="whole" allowBlank="1" showInputMessage="1" showErrorMessage="1" sqref="J60:K60">
      <formula1>1</formula1>
      <formula2>100000</formula2>
    </dataValidation>
    <dataValidation type="decimal" allowBlank="1" showInputMessage="1" showErrorMessage="1" sqref="L60">
      <formula1>0</formula1>
      <formula2>10</formula2>
    </dataValidation>
    <dataValidation type="whole" allowBlank="1" showInputMessage="1" showErrorMessage="1" sqref="G61">
      <formula1>0</formula1>
      <formula2>1</formula2>
    </dataValidation>
    <dataValidation type="whole" allowBlank="1" showInputMessage="1" showErrorMessage="1" sqref="H61:I61">
      <formula1>0</formula1>
      <formula2>1000000</formula2>
    </dataValidation>
    <dataValidation type="whole" allowBlank="1" showInputMessage="1" showErrorMessage="1" sqref="J61:K61">
      <formula1>1</formula1>
      <formula2>100000</formula2>
    </dataValidation>
    <dataValidation type="decimal" allowBlank="1" showInputMessage="1" showErrorMessage="1" sqref="L61">
      <formula1>0</formula1>
      <formula2>10</formula2>
    </dataValidation>
    <dataValidation type="whole" allowBlank="1" showInputMessage="1" showErrorMessage="1" sqref="G62">
      <formula1>0</formula1>
      <formula2>1</formula2>
    </dataValidation>
    <dataValidation type="whole" allowBlank="1" showInputMessage="1" showErrorMessage="1" sqref="H62:I62">
      <formula1>0</formula1>
      <formula2>1000000</formula2>
    </dataValidation>
    <dataValidation type="whole" allowBlank="1" showInputMessage="1" showErrorMessage="1" sqref="J62:K62">
      <formula1>1</formula1>
      <formula2>100000</formula2>
    </dataValidation>
    <dataValidation type="decimal" allowBlank="1" showInputMessage="1" showErrorMessage="1" sqref="L62">
      <formula1>0</formula1>
      <formula2>10</formula2>
    </dataValidation>
    <dataValidation type="whole" allowBlank="1" showInputMessage="1" showErrorMessage="1" sqref="G63">
      <formula1>0</formula1>
      <formula2>1</formula2>
    </dataValidation>
    <dataValidation type="whole" allowBlank="1" showInputMessage="1" showErrorMessage="1" sqref="H63:I63">
      <formula1>0</formula1>
      <formula2>1000000</formula2>
    </dataValidation>
    <dataValidation type="whole" allowBlank="1" showInputMessage="1" showErrorMessage="1" sqref="J63:K63">
      <formula1>1</formula1>
      <formula2>100000</formula2>
    </dataValidation>
    <dataValidation type="decimal" allowBlank="1" showInputMessage="1" showErrorMessage="1" sqref="L63">
      <formula1>0</formula1>
      <formula2>10</formula2>
    </dataValidation>
    <dataValidation type="whole" allowBlank="1" showInputMessage="1" showErrorMessage="1" sqref="G64">
      <formula1>0</formula1>
      <formula2>1</formula2>
    </dataValidation>
    <dataValidation type="whole" allowBlank="1" showInputMessage="1" showErrorMessage="1" sqref="H64:I64">
      <formula1>0</formula1>
      <formula2>1000000</formula2>
    </dataValidation>
    <dataValidation type="whole" allowBlank="1" showInputMessage="1" showErrorMessage="1" sqref="J64:K64">
      <formula1>1</formula1>
      <formula2>100000</formula2>
    </dataValidation>
    <dataValidation type="decimal" allowBlank="1" showInputMessage="1" showErrorMessage="1" sqref="L64">
      <formula1>0</formula1>
      <formula2>10</formula2>
    </dataValidation>
    <dataValidation type="whole" allowBlank="1" showInputMessage="1" showErrorMessage="1" sqref="G65">
      <formula1>0</formula1>
      <formula2>1</formula2>
    </dataValidation>
    <dataValidation type="whole" allowBlank="1" showInputMessage="1" showErrorMessage="1" sqref="H65:I65">
      <formula1>0</formula1>
      <formula2>1000000</formula2>
    </dataValidation>
    <dataValidation type="whole" allowBlank="1" showInputMessage="1" showErrorMessage="1" sqref="J65:K65">
      <formula1>1</formula1>
      <formula2>100000</formula2>
    </dataValidation>
    <dataValidation type="decimal" allowBlank="1" showInputMessage="1" showErrorMessage="1" sqref="L65">
      <formula1>0</formula1>
      <formula2>10</formula2>
    </dataValidation>
    <dataValidation type="whole" allowBlank="1" showInputMessage="1" showErrorMessage="1" sqref="G66">
      <formula1>0</formula1>
      <formula2>1</formula2>
    </dataValidation>
    <dataValidation type="whole" allowBlank="1" showInputMessage="1" showErrorMessage="1" sqref="H66:I66">
      <formula1>0</formula1>
      <formula2>1000000</formula2>
    </dataValidation>
    <dataValidation type="whole" allowBlank="1" showInputMessage="1" showErrorMessage="1" sqref="J66:K66">
      <formula1>1</formula1>
      <formula2>100000</formula2>
    </dataValidation>
    <dataValidation type="decimal" allowBlank="1" showInputMessage="1" showErrorMessage="1" sqref="L66">
      <formula1>0</formula1>
      <formula2>10</formula2>
    </dataValidation>
    <dataValidation type="whole" allowBlank="1" showInputMessage="1" showErrorMessage="1" sqref="G67">
      <formula1>0</formula1>
      <formula2>1</formula2>
    </dataValidation>
    <dataValidation type="whole" allowBlank="1" showInputMessage="1" showErrorMessage="1" sqref="H67:I67">
      <formula1>0</formula1>
      <formula2>1000000</formula2>
    </dataValidation>
    <dataValidation type="whole" allowBlank="1" showInputMessage="1" showErrorMessage="1" sqref="J67:K67">
      <formula1>1</formula1>
      <formula2>100000</formula2>
    </dataValidation>
    <dataValidation type="decimal" allowBlank="1" showInputMessage="1" showErrorMessage="1" sqref="L67">
      <formula1>0</formula1>
      <formula2>10</formula2>
    </dataValidation>
    <dataValidation type="whole" allowBlank="1" showInputMessage="1" showErrorMessage="1" sqref="G68">
      <formula1>0</formula1>
      <formula2>1</formula2>
    </dataValidation>
    <dataValidation type="whole" allowBlank="1" showInputMessage="1" showErrorMessage="1" sqref="H68:I68">
      <formula1>0</formula1>
      <formula2>1000000</formula2>
    </dataValidation>
    <dataValidation type="whole" allowBlank="1" showInputMessage="1" showErrorMessage="1" sqref="J68:K68">
      <formula1>1</formula1>
      <formula2>100000</formula2>
    </dataValidation>
    <dataValidation type="decimal" allowBlank="1" showInputMessage="1" showErrorMessage="1" sqref="L68">
      <formula1>0</formula1>
      <formula2>10</formula2>
    </dataValidation>
    <dataValidation type="whole" allowBlank="1" showInputMessage="1" showErrorMessage="1" sqref="G69">
      <formula1>0</formula1>
      <formula2>1</formula2>
    </dataValidation>
    <dataValidation type="whole" allowBlank="1" showInputMessage="1" showErrorMessage="1" sqref="H69:I69">
      <formula1>0</formula1>
      <formula2>1000000</formula2>
    </dataValidation>
    <dataValidation type="whole" allowBlank="1" showInputMessage="1" showErrorMessage="1" sqref="J69:K69">
      <formula1>1</formula1>
      <formula2>100000</formula2>
    </dataValidation>
    <dataValidation type="decimal" allowBlank="1" showInputMessage="1" showErrorMessage="1" sqref="L69">
      <formula1>0</formula1>
      <formula2>10</formula2>
    </dataValidation>
    <dataValidation type="whole" allowBlank="1" showInputMessage="1" showErrorMessage="1" sqref="G70">
      <formula1>0</formula1>
      <formula2>1</formula2>
    </dataValidation>
    <dataValidation type="whole" allowBlank="1" showInputMessage="1" showErrorMessage="1" sqref="H70:I70">
      <formula1>0</formula1>
      <formula2>1000000</formula2>
    </dataValidation>
    <dataValidation type="whole" allowBlank="1" showInputMessage="1" showErrorMessage="1" sqref="J70:K70">
      <formula1>1</formula1>
      <formula2>100000</formula2>
    </dataValidation>
    <dataValidation type="decimal" allowBlank="1" showInputMessage="1" showErrorMessage="1" sqref="L70">
      <formula1>0</formula1>
      <formula2>10</formula2>
    </dataValidation>
    <dataValidation type="whole" allowBlank="1" showInputMessage="1" showErrorMessage="1" sqref="G71">
      <formula1>0</formula1>
      <formula2>1</formula2>
    </dataValidation>
    <dataValidation type="whole" allowBlank="1" showInputMessage="1" showErrorMessage="1" sqref="H71:I71">
      <formula1>0</formula1>
      <formula2>1000000</formula2>
    </dataValidation>
    <dataValidation type="whole" allowBlank="1" showInputMessage="1" showErrorMessage="1" sqref="J71:K71">
      <formula1>1</formula1>
      <formula2>100000</formula2>
    </dataValidation>
    <dataValidation type="decimal" allowBlank="1" showInputMessage="1" showErrorMessage="1" sqref="L71">
      <formula1>0</formula1>
      <formula2>10</formula2>
    </dataValidation>
  </dataValidations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  <hyperlink ref="Y52" r:id="rId51"/>
    <hyperlink ref="Y53" r:id="rId52"/>
    <hyperlink ref="Y54" r:id="rId53"/>
    <hyperlink ref="Y55" r:id="rId54"/>
    <hyperlink ref="Y56" r:id="rId55"/>
    <hyperlink ref="Y57" r:id="rId56"/>
    <hyperlink ref="Y58" r:id="rId57"/>
    <hyperlink ref="Y59" r:id="rId58"/>
    <hyperlink ref="Y60" r:id="rId59"/>
    <hyperlink ref="Y61" r:id="rId60"/>
    <hyperlink ref="Y62" r:id="rId61"/>
    <hyperlink ref="Y63" r:id="rId62"/>
    <hyperlink ref="Y64" r:id="rId63"/>
    <hyperlink ref="Y65" r:id="rId64"/>
    <hyperlink ref="Y66" r:id="rId65"/>
    <hyperlink ref="Y67" r:id="rId66"/>
    <hyperlink ref="Y68" r:id="rId67"/>
    <hyperlink ref="Y69" r:id="rId68"/>
    <hyperlink ref="Y70" r:id="rId69"/>
    <hyperlink ref="Y71" r:id="rId70"/>
  </hyperlinks>
  <pageMargins left="0.7" right="0.7" top="0.75" bottom="0.75" header="0.3" footer="0.3"/>
  <pageSetup fitToHeight="0" orientation="landscape"/>
  <headerFooter>
    <oddFooter>&amp;LMonid finance assessment&amp;RPage &amp;P of &amp;N</oddFooter>
  </headerFooter>
  <legacyDrawing r:id="rId7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28.7109375" customWidth="1"/>
    <col min="2" max="2" width="10.7109375" customWidth="1"/>
    <col min="3" max="3" width="23.7109375" customWidth="1"/>
    <col min="4" max="4" width="24.7109375" customWidth="1"/>
    <col min="5" max="5" width="23.7109375" customWidth="1"/>
    <col min="6" max="6" width="24.7109375" customWidth="1"/>
    <col min="7" max="7" width="90.7109375" customWidth="1"/>
  </cols>
  <sheetData>
    <row r="1" spans="1:7" ht="38" customHeight="1">
      <c r="A1" s="2" t="s">
        <v>721</v>
      </c>
      <c r="B1" s="2" t="s">
        <v>616</v>
      </c>
      <c r="C1" s="2" t="s">
        <v>706</v>
      </c>
      <c r="D1" s="2" t="s">
        <v>707</v>
      </c>
      <c r="E1" s="2" t="s">
        <v>710</v>
      </c>
      <c r="F1" s="2" t="s">
        <v>711</v>
      </c>
      <c r="G1" s="2" t="s">
        <v>722</v>
      </c>
    </row>
    <row r="2" spans="1:7" ht="45" customHeight="1">
      <c r="A2" s="3" t="s">
        <v>625</v>
      </c>
      <c r="B2" s="3">
        <v>20</v>
      </c>
      <c r="C2" s="11">
        <f>SUMIF(Costs!$B$2:$B$71,"nasdaq",Costs!$R$2:$R$71)</f>
        <v>220.0</v>
      </c>
      <c r="D2" s="11">
        <f>SUMIF(Costs!$B$2:$B$71,"nasdaq",Costs!$S$2:$S$71)</f>
        <v>2200.0</v>
      </c>
      <c r="E2" s="11">
        <f>SUMIF(Costs!$B$2:$B$71,"nasdaq",Costs!$V$2:$V$71)</f>
        <v>4847.4800000000005</v>
      </c>
      <c r="F2" s="11">
        <f>SUMIF(Costs!$B$2:$B$71,"nasdaq",Costs!$W$2:$W$71)</f>
        <v>44892.979999999996</v>
      </c>
      <c r="G2" s="3" t="s">
        <v>723</v>
      </c>
    </row>
    <row r="3" spans="1:7" ht="45" customHeight="1">
      <c r="A3" s="3" t="s">
        <v>635</v>
      </c>
      <c r="B3" s="3">
        <v>5</v>
      </c>
      <c r="C3" s="11">
        <f>SUMIF(Costs!$B$2:$B$71,"yahoo-finance",Costs!$R$2:$R$71)</f>
        <v>275.0</v>
      </c>
      <c r="D3" s="11">
        <f>SUMIF(Costs!$B$2:$B$71,"yahoo-finance",Costs!$S$2:$S$71)</f>
        <v>2750.0</v>
      </c>
      <c r="E3" s="11">
        <f>SUMIF(Costs!$B$2:$B$71,"yahoo-finance",Costs!$V$2:$V$71)</f>
        <v>11307.5</v>
      </c>
      <c r="F3" s="11">
        <f>SUMIF(Costs!$B$2:$B$71,"yahoo-finance",Costs!$W$2:$W$71)</f>
        <v>113075.0</v>
      </c>
      <c r="G3" s="3" t="s">
        <v>723</v>
      </c>
    </row>
    <row r="4" spans="1:7" ht="45" customHeight="1">
      <c r="A4" s="3" t="s">
        <v>645</v>
      </c>
      <c r="B4" s="3">
        <v>5</v>
      </c>
      <c r="C4" s="11">
        <f>SUMIF(Costs!$B$2:$B$71,"finviz",Costs!$R$2:$R$71)</f>
        <v>55.0</v>
      </c>
      <c r="D4" s="11">
        <f>SUMIF(Costs!$B$2:$B$71,"finviz",Costs!$S$2:$S$71)</f>
        <v>550.0</v>
      </c>
      <c r="E4" s="11">
        <f>SUMIF(Costs!$B$2:$B$71,"finviz",Costs!$V$2:$V$71)</f>
        <v>2244.3999999999996</v>
      </c>
      <c r="F4" s="11">
        <f>SUMIF(Costs!$B$2:$B$71,"finviz",Costs!$W$2:$W$71)</f>
        <v>22008.4</v>
      </c>
      <c r="G4" s="3" t="s">
        <v>723</v>
      </c>
    </row>
    <row r="5" spans="1:7" ht="45" customHeight="1">
      <c r="A5" s="3" t="s">
        <v>655</v>
      </c>
      <c r="B5" s="3">
        <v>14</v>
      </c>
      <c r="C5" s="11">
        <f>SUMIF(Costs!$B$2:$B$71,"marketbeat",Costs!$R$2:$R$71)</f>
        <v>176.0</v>
      </c>
      <c r="D5" s="11">
        <f>SUMIF(Costs!$B$2:$B$71,"marketbeat",Costs!$S$2:$S$71)</f>
        <v>1760.0</v>
      </c>
      <c r="E5" s="11">
        <f>SUMIF(Costs!$B$2:$B$71,"marketbeat",Costs!$V$2:$V$71)</f>
        <v>2913.5</v>
      </c>
      <c r="F5" s="11">
        <f>SUMIF(Costs!$B$2:$B$71,"marketbeat",Costs!$W$2:$W$71)</f>
        <v>29135.0</v>
      </c>
      <c r="G5" s="3" t="s">
        <v>723</v>
      </c>
    </row>
    <row r="6" spans="1:7" ht="45" customHeight="1">
      <c r="A6" s="3" t="s">
        <v>665</v>
      </c>
      <c r="B6" s="3">
        <v>7</v>
      </c>
      <c r="C6" s="11">
        <f>SUMIF(Costs!$B$2:$B$71,"stockanalysis",Costs!$R$2:$R$71)</f>
        <v>77.0</v>
      </c>
      <c r="D6" s="11">
        <f>SUMIF(Costs!$B$2:$B$71,"stockanalysis",Costs!$S$2:$S$71)</f>
        <v>770.0</v>
      </c>
      <c r="E6" s="11">
        <f>SUMIF(Costs!$B$2:$B$71,"stockanalysis",Costs!$V$2:$V$71)</f>
        <v>1796.62</v>
      </c>
      <c r="F6" s="11">
        <f>SUMIF(Costs!$B$2:$B$71,"stockanalysis",Costs!$W$2:$W$71)</f>
        <v>17830.12</v>
      </c>
      <c r="G6" s="3" t="s">
        <v>723</v>
      </c>
    </row>
    <row r="7" spans="1:7" ht="45" customHeight="1">
      <c r="A7" s="3" t="s">
        <v>675</v>
      </c>
      <c r="B7" s="3">
        <v>8</v>
      </c>
      <c r="C7" s="11">
        <f>SUMIF(Costs!$B$2:$B$71,"defillama",Costs!$R$2:$R$71)</f>
        <v>5.28</v>
      </c>
      <c r="D7" s="11">
        <f>SUMIF(Costs!$B$2:$B$71,"defillama",Costs!$S$2:$S$71)</f>
        <v>52.800000000000004</v>
      </c>
      <c r="E7" s="11">
        <f>SUMIF(Costs!$B$2:$B$71,"defillama",Costs!$V$2:$V$71)</f>
        <v>275.658</v>
      </c>
      <c r="F7" s="11">
        <f>SUMIF(Costs!$B$2:$B$71,"defillama",Costs!$W$2:$W$71)</f>
        <v>2756.4179999999997</v>
      </c>
      <c r="G7" s="3" t="s">
        <v>723</v>
      </c>
    </row>
    <row r="8" spans="1:7" ht="45" customHeight="1">
      <c r="A8" s="3" t="s">
        <v>685</v>
      </c>
      <c r="B8" s="3">
        <v>11</v>
      </c>
      <c r="C8" s="11">
        <f>SUMIF(Costs!$B$2:$B$71,"secform4",Costs!$R$2:$R$71)</f>
        <v>121.0</v>
      </c>
      <c r="D8" s="11">
        <f>SUMIF(Costs!$B$2:$B$71,"secform4",Costs!$S$2:$S$71)</f>
        <v>1210.0</v>
      </c>
      <c r="E8" s="11">
        <f>SUMIF(Costs!$B$2:$B$71,"secform4",Costs!$V$2:$V$71)</f>
        <v>489.06</v>
      </c>
      <c r="F8" s="11">
        <f>SUMIF(Costs!$B$2:$B$71,"secform4",Costs!$W$2:$W$71)</f>
        <v>3976.56</v>
      </c>
      <c r="G8" s="3" t="s">
        <v>723</v>
      </c>
    </row>
    <row r="10" spans="1:7" ht="30" customHeight="1">
      <c r="A10" s="2" t="s">
        <v>724</v>
      </c>
      <c r="C10" s="11">
        <f>SUM(Costs!$R$2:$R$71)</f>
        <v>929.2799999999997</v>
      </c>
      <c r="D10" s="11">
        <f>SUM(Costs!$S$2:$S$71)</f>
        <v>9292.800000000003</v>
      </c>
      <c r="E10" s="11">
        <f>SUM(Costs!$V$2:$V$71)</f>
        <v>23874.218000000008</v>
      </c>
      <c r="F10" s="11">
        <f>SUM(Costs!$W$2:$W$71)</f>
        <v>233674.4779999999</v>
      </c>
      <c r="G10" s="3" t="s">
        <v>725</v>
      </c>
    </row>
    <row r="11" spans="1:7" ht="30" customHeight="1">
      <c r="A11" s="2" t="s">
        <v>726</v>
      </c>
      <c r="C11" s="11">
        <f>SUMPRODUCT(Costs!$G$2:$G$71,Costs!$R$2:$R$71)</f>
        <v>0</v>
      </c>
      <c r="D11" s="11">
        <f>SUMPRODUCT(Costs!$G$2:$G$71,Costs!$S$2:$S$71)</f>
        <v>0</v>
      </c>
      <c r="E11" s="11">
        <f>SUMPRODUCT(Costs!$G$2:$G$71,Costs!$V$2:$V$71)</f>
        <v>0</v>
      </c>
      <c r="F11" s="11">
        <f>SUMPRODUCT(Costs!$G$2:$G$71,Costs!$W$2:$W$71)</f>
        <v>0</v>
      </c>
      <c r="G11" s="3" t="s">
        <v>727</v>
      </c>
    </row>
    <row r="14" spans="1:7" ht="30" customHeight="1">
      <c r="A14" s="2" t="s">
        <v>728</v>
      </c>
      <c r="B14" s="2" t="s">
        <v>729</v>
      </c>
      <c r="C14" s="2" t="s">
        <v>730</v>
      </c>
      <c r="D14" s="2" t="s">
        <v>731</v>
      </c>
      <c r="E14" s="2" t="s">
        <v>732</v>
      </c>
    </row>
    <row r="15" spans="1:7" ht="30" customHeight="1">
      <c r="A15" s="9">
        <v>1515</v>
      </c>
      <c r="B15" s="8">
        <v>0.01</v>
      </c>
      <c r="C15" s="11">
        <f>A15*B15*Profiles!D7</f>
        <v>454.5</v>
      </c>
      <c r="D15" s="11">
        <f>A15*B15*Profiles!D4</f>
        <v>7272.0</v>
      </c>
      <c r="E15" s="11">
        <f>A15*B15*Profiles!D2</f>
        <v>25997.4</v>
      </c>
      <c r="G15" s="3" t="s">
        <v>733</v>
      </c>
    </row>
    <row r="16" spans="1:7" ht="30" customHeight="1">
      <c r="A16" s="9">
        <v>10000</v>
      </c>
      <c r="B16" s="8">
        <v>0.01</v>
      </c>
      <c r="C16" s="11">
        <f>A16*B16*Profiles!D7</f>
        <v>3000.0</v>
      </c>
      <c r="D16" s="11">
        <f>A16*B16*Profiles!D4</f>
        <v>48000.0</v>
      </c>
      <c r="E16" s="11">
        <f>A16*B16*Profiles!D2</f>
        <v>171600.0</v>
      </c>
      <c r="G16" s="3" t="s">
        <v>733</v>
      </c>
    </row>
    <row r="17" spans="1:7" ht="30" customHeight="1">
      <c r="A17" s="9">
        <v>50000</v>
      </c>
      <c r="B17" s="8">
        <v>0.01</v>
      </c>
      <c r="C17" s="11">
        <f>A17*B17*Profiles!D7</f>
        <v>15000.0</v>
      </c>
      <c r="D17" s="11">
        <f>A17*B17*Profiles!D4</f>
        <v>240000.0</v>
      </c>
      <c r="E17" s="11">
        <f>A17*B17*Profiles!D2</f>
        <v>858000.0</v>
      </c>
      <c r="G17" s="3" t="s">
        <v>733</v>
      </c>
    </row>
  </sheetData>
  <pageMargins left="0.7" right="0.7" top="0.75" bottom="0.75" header="0.3" footer="0.3"/>
  <pageSetup fitToHeight="0" orientation="landscape"/>
  <headerFooter>
    <oddFooter>&amp;LMonid finance assessment&amp;RPage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14.7109375" customWidth="1"/>
    <col min="2" max="2" width="80.7109375" customWidth="1"/>
    <col min="3" max="3" width="110.7109375" customWidth="1"/>
    <col min="4" max="4" width="85.7109375" customWidth="1"/>
  </cols>
  <sheetData>
    <row r="1" spans="1:4" ht="38" customHeight="1">
      <c r="A1" s="2" t="s">
        <v>734</v>
      </c>
      <c r="B1" s="2" t="s">
        <v>735</v>
      </c>
      <c r="C1" s="2" t="s">
        <v>736</v>
      </c>
      <c r="D1" s="2" t="s">
        <v>737</v>
      </c>
    </row>
    <row r="2" spans="1:4" ht="44" customHeight="1">
      <c r="A2" s="3" t="s">
        <v>738</v>
      </c>
      <c r="B2" s="3" t="s">
        <v>739</v>
      </c>
      <c r="C2" s="7" t="s">
        <v>740</v>
      </c>
      <c r="D2" s="3" t="s">
        <v>741</v>
      </c>
    </row>
    <row r="3" spans="1:4" ht="44" customHeight="1">
      <c r="A3" s="3" t="s">
        <v>742</v>
      </c>
      <c r="B3" s="3" t="s">
        <v>743</v>
      </c>
      <c r="C3" s="7" t="s">
        <v>744</v>
      </c>
      <c r="D3" s="3" t="s">
        <v>741</v>
      </c>
    </row>
    <row r="4" spans="1:4" ht="44" customHeight="1">
      <c r="A4" s="3" t="s">
        <v>745</v>
      </c>
      <c r="B4" s="3" t="s">
        <v>746</v>
      </c>
      <c r="C4" s="7" t="s">
        <v>747</v>
      </c>
      <c r="D4" s="3" t="s">
        <v>741</v>
      </c>
    </row>
    <row r="5" spans="1:4" ht="44" customHeight="1">
      <c r="A5" s="3" t="s">
        <v>748</v>
      </c>
      <c r="B5" s="3" t="s">
        <v>749</v>
      </c>
      <c r="C5" s="7" t="s">
        <v>750</v>
      </c>
      <c r="D5" s="3" t="s">
        <v>741</v>
      </c>
    </row>
    <row r="6" spans="1:4" ht="44" customHeight="1">
      <c r="A6" s="3" t="s">
        <v>751</v>
      </c>
      <c r="B6" s="3" t="s">
        <v>752</v>
      </c>
      <c r="C6" s="7" t="s">
        <v>753</v>
      </c>
      <c r="D6" s="3" t="s">
        <v>741</v>
      </c>
    </row>
    <row r="7" spans="1:4" ht="44" customHeight="1">
      <c r="A7" s="3" t="s">
        <v>754</v>
      </c>
      <c r="B7" s="3" t="s">
        <v>755</v>
      </c>
      <c r="C7" s="7" t="s">
        <v>756</v>
      </c>
      <c r="D7" s="3" t="s">
        <v>741</v>
      </c>
    </row>
    <row r="8" spans="1:4" ht="44" customHeight="1">
      <c r="A8" s="3" t="s">
        <v>757</v>
      </c>
      <c r="B8" s="3" t="s">
        <v>758</v>
      </c>
      <c r="C8" s="7" t="s">
        <v>759</v>
      </c>
      <c r="D8" s="3" t="s">
        <v>741</v>
      </c>
    </row>
    <row r="9" spans="1:4" ht="44" customHeight="1">
      <c r="A9" s="3" t="s">
        <v>760</v>
      </c>
      <c r="B9" s="3" t="s">
        <v>761</v>
      </c>
      <c r="C9" s="7" t="s">
        <v>762</v>
      </c>
      <c r="D9" s="3" t="s">
        <v>741</v>
      </c>
    </row>
    <row r="10" spans="1:4" ht="44" customHeight="1">
      <c r="A10" s="3" t="s">
        <v>763</v>
      </c>
      <c r="B10" s="3" t="s">
        <v>764</v>
      </c>
      <c r="C10" s="7" t="s">
        <v>765</v>
      </c>
      <c r="D10" s="3" t="s">
        <v>766</v>
      </c>
    </row>
    <row r="11" spans="1:4" ht="44" customHeight="1">
      <c r="A11" s="3" t="s">
        <v>767</v>
      </c>
      <c r="B11" s="3" t="s">
        <v>768</v>
      </c>
      <c r="C11" s="7" t="s">
        <v>769</v>
      </c>
      <c r="D11" s="3" t="s">
        <v>766</v>
      </c>
    </row>
    <row r="12" spans="1:4" ht="44" customHeight="1">
      <c r="A12" s="3" t="s">
        <v>770</v>
      </c>
      <c r="B12" s="3" t="s">
        <v>771</v>
      </c>
      <c r="C12" s="7" t="s">
        <v>772</v>
      </c>
      <c r="D12" s="3" t="s">
        <v>766</v>
      </c>
    </row>
    <row r="13" spans="1:4" ht="44" customHeight="1">
      <c r="A13" s="3" t="s">
        <v>773</v>
      </c>
      <c r="B13" s="3" t="s">
        <v>774</v>
      </c>
      <c r="C13" s="7" t="s">
        <v>775</v>
      </c>
      <c r="D13" s="3" t="s">
        <v>766</v>
      </c>
    </row>
    <row r="14" spans="1:4" ht="44" customHeight="1">
      <c r="A14" s="3" t="s">
        <v>776</v>
      </c>
      <c r="B14" s="3" t="s">
        <v>777</v>
      </c>
      <c r="C14" s="7" t="s">
        <v>778</v>
      </c>
      <c r="D14" s="3" t="s">
        <v>766</v>
      </c>
    </row>
    <row r="15" spans="1:4" ht="44" customHeight="1">
      <c r="A15" s="3" t="s">
        <v>779</v>
      </c>
      <c r="B15" s="3" t="s">
        <v>780</v>
      </c>
      <c r="C15" s="7" t="s">
        <v>781</v>
      </c>
      <c r="D15" s="3" t="s">
        <v>766</v>
      </c>
    </row>
    <row r="16" spans="1:4" ht="44" customHeight="1">
      <c r="A16" s="3" t="s">
        <v>782</v>
      </c>
      <c r="B16" s="3" t="s">
        <v>783</v>
      </c>
      <c r="C16" s="7" t="s">
        <v>784</v>
      </c>
      <c r="D16" s="3" t="s">
        <v>741</v>
      </c>
    </row>
    <row r="17" spans="1:4" ht="44" customHeight="1">
      <c r="A17" s="3" t="s">
        <v>785</v>
      </c>
      <c r="B17" s="3" t="s">
        <v>786</v>
      </c>
      <c r="C17" s="7" t="s">
        <v>787</v>
      </c>
      <c r="D17" s="3" t="s">
        <v>741</v>
      </c>
    </row>
    <row r="18" spans="1:4" ht="44" customHeight="1">
      <c r="A18" s="3" t="s">
        <v>788</v>
      </c>
      <c r="B18" s="3" t="s">
        <v>789</v>
      </c>
      <c r="C18" s="7" t="s">
        <v>790</v>
      </c>
      <c r="D18" s="3" t="s">
        <v>741</v>
      </c>
    </row>
    <row r="19" spans="1:4" ht="44" customHeight="1">
      <c r="A19" s="3" t="s">
        <v>791</v>
      </c>
      <c r="B19" s="3" t="s">
        <v>792</v>
      </c>
      <c r="C19" s="7" t="s">
        <v>793</v>
      </c>
      <c r="D19" s="3" t="s">
        <v>741</v>
      </c>
    </row>
    <row r="20" spans="1:4" ht="44" customHeight="1">
      <c r="A20" s="3" t="s">
        <v>794</v>
      </c>
      <c r="B20" s="3" t="s">
        <v>795</v>
      </c>
      <c r="C20" s="7" t="s">
        <v>796</v>
      </c>
      <c r="D20" s="3" t="s">
        <v>741</v>
      </c>
    </row>
    <row r="21" spans="1:4" ht="44" customHeight="1">
      <c r="A21" s="3" t="s">
        <v>797</v>
      </c>
      <c r="B21" s="3" t="s">
        <v>798</v>
      </c>
      <c r="C21" s="7" t="s">
        <v>799</v>
      </c>
      <c r="D21" s="3" t="s">
        <v>741</v>
      </c>
    </row>
    <row r="22" spans="1:4" ht="44" customHeight="1">
      <c r="A22" s="3" t="s">
        <v>800</v>
      </c>
      <c r="B22" s="3" t="s">
        <v>801</v>
      </c>
      <c r="C22" s="7" t="s">
        <v>802</v>
      </c>
      <c r="D22" s="3" t="s">
        <v>741</v>
      </c>
    </row>
    <row r="23" spans="1:4" ht="44" customHeight="1">
      <c r="A23" s="3" t="s">
        <v>803</v>
      </c>
      <c r="B23" s="3" t="s">
        <v>804</v>
      </c>
      <c r="C23" s="7" t="s">
        <v>805</v>
      </c>
      <c r="D23" s="3" t="s">
        <v>741</v>
      </c>
    </row>
    <row r="24" spans="1:4" ht="44" customHeight="1">
      <c r="A24" s="3" t="s">
        <v>806</v>
      </c>
      <c r="B24" s="3" t="s">
        <v>807</v>
      </c>
      <c r="C24" s="7" t="s">
        <v>808</v>
      </c>
      <c r="D24" s="3" t="s">
        <v>741</v>
      </c>
    </row>
    <row r="25" spans="1:4" ht="44" customHeight="1">
      <c r="A25" s="3" t="s">
        <v>809</v>
      </c>
      <c r="B25" s="3" t="s">
        <v>810</v>
      </c>
      <c r="C25" s="7" t="s">
        <v>811</v>
      </c>
      <c r="D25" s="3" t="s">
        <v>741</v>
      </c>
    </row>
    <row r="26" spans="1:4" ht="44" customHeight="1">
      <c r="A26" s="3" t="s">
        <v>812</v>
      </c>
      <c r="B26" s="3" t="s">
        <v>813</v>
      </c>
      <c r="C26" s="7" t="s">
        <v>814</v>
      </c>
      <c r="D26" s="3" t="s">
        <v>741</v>
      </c>
    </row>
    <row r="27" spans="1:4" ht="44" customHeight="1">
      <c r="A27" s="3" t="s">
        <v>815</v>
      </c>
      <c r="B27" s="3" t="s">
        <v>816</v>
      </c>
      <c r="C27" s="7" t="s">
        <v>817</v>
      </c>
      <c r="D27" s="3" t="s">
        <v>741</v>
      </c>
    </row>
    <row r="28" spans="1:4" ht="44" customHeight="1">
      <c r="A28" s="3" t="s">
        <v>818</v>
      </c>
      <c r="B28" s="3" t="s">
        <v>819</v>
      </c>
      <c r="C28" s="7" t="s">
        <v>820</v>
      </c>
      <c r="D28" s="3" t="s">
        <v>741</v>
      </c>
    </row>
    <row r="29" spans="1:4" ht="44" customHeight="1">
      <c r="A29" s="3" t="s">
        <v>821</v>
      </c>
      <c r="B29" s="3" t="s">
        <v>822</v>
      </c>
      <c r="C29" s="7" t="s">
        <v>823</v>
      </c>
      <c r="D29" s="3" t="s">
        <v>741</v>
      </c>
    </row>
    <row r="30" spans="1:4" ht="44" customHeight="1">
      <c r="A30" s="3" t="s">
        <v>824</v>
      </c>
      <c r="B30" s="3" t="s">
        <v>825</v>
      </c>
      <c r="C30" s="7" t="s">
        <v>826</v>
      </c>
      <c r="D30" s="3" t="s">
        <v>741</v>
      </c>
    </row>
    <row r="31" spans="1:4" ht="44" customHeight="1">
      <c r="A31" s="3" t="s">
        <v>827</v>
      </c>
      <c r="B31" s="3" t="s">
        <v>828</v>
      </c>
      <c r="C31" s="7" t="s">
        <v>829</v>
      </c>
      <c r="D31" s="3" t="s">
        <v>741</v>
      </c>
    </row>
    <row r="32" spans="1:4" ht="44" customHeight="1">
      <c r="A32" s="3" t="s">
        <v>830</v>
      </c>
      <c r="B32" s="3" t="s">
        <v>831</v>
      </c>
      <c r="C32" s="7" t="s">
        <v>832</v>
      </c>
      <c r="D32" s="3" t="s">
        <v>741</v>
      </c>
    </row>
    <row r="33" spans="1:4" ht="44" customHeight="1">
      <c r="A33" s="3" t="s">
        <v>833</v>
      </c>
      <c r="B33" s="3" t="s">
        <v>834</v>
      </c>
      <c r="C33" s="7" t="s">
        <v>835</v>
      </c>
      <c r="D33" s="3" t="s">
        <v>741</v>
      </c>
    </row>
    <row r="34" spans="1:4" ht="44" customHeight="1">
      <c r="A34" s="3" t="s">
        <v>836</v>
      </c>
      <c r="B34" s="3" t="s">
        <v>837</v>
      </c>
      <c r="C34" s="7" t="s">
        <v>838</v>
      </c>
      <c r="D34" s="3" t="s">
        <v>741</v>
      </c>
    </row>
    <row r="35" spans="1:4" ht="44" customHeight="1">
      <c r="A35" s="3" t="s">
        <v>839</v>
      </c>
      <c r="B35" s="3" t="s">
        <v>840</v>
      </c>
      <c r="C35" s="7" t="s">
        <v>841</v>
      </c>
      <c r="D35" s="3" t="s">
        <v>741</v>
      </c>
    </row>
    <row r="36" spans="1:4" ht="44" customHeight="1">
      <c r="A36" s="3" t="s">
        <v>842</v>
      </c>
      <c r="B36" s="3" t="s">
        <v>843</v>
      </c>
      <c r="C36" s="7" t="s">
        <v>844</v>
      </c>
      <c r="D36" s="3" t="s">
        <v>741</v>
      </c>
    </row>
    <row r="37" spans="1:4" ht="44" customHeight="1">
      <c r="A37" s="3" t="s">
        <v>845</v>
      </c>
      <c r="B37" s="3" t="s">
        <v>846</v>
      </c>
      <c r="C37" s="7" t="s">
        <v>847</v>
      </c>
      <c r="D37" s="3" t="s">
        <v>741</v>
      </c>
    </row>
    <row r="38" spans="1:4" ht="44" customHeight="1">
      <c r="A38" s="3" t="s">
        <v>848</v>
      </c>
      <c r="B38" s="3" t="s">
        <v>849</v>
      </c>
      <c r="C38" s="7" t="s">
        <v>850</v>
      </c>
      <c r="D38" s="3" t="s">
        <v>741</v>
      </c>
    </row>
    <row r="39" spans="1:4" ht="44" customHeight="1">
      <c r="A39" s="3" t="s">
        <v>851</v>
      </c>
      <c r="B39" s="3" t="s">
        <v>852</v>
      </c>
      <c r="C39" s="7" t="s">
        <v>853</v>
      </c>
      <c r="D39" s="3" t="s">
        <v>741</v>
      </c>
    </row>
    <row r="40" spans="1:4" ht="44" customHeight="1">
      <c r="A40" s="3" t="s">
        <v>854</v>
      </c>
      <c r="B40" s="3" t="s">
        <v>855</v>
      </c>
      <c r="C40" s="7" t="s">
        <v>856</v>
      </c>
      <c r="D40" s="3" t="s">
        <v>741</v>
      </c>
    </row>
    <row r="41" spans="1:4" ht="44" customHeight="1">
      <c r="A41" s="3" t="s">
        <v>857</v>
      </c>
      <c r="B41" s="3" t="s">
        <v>858</v>
      </c>
      <c r="C41" s="7" t="s">
        <v>859</v>
      </c>
      <c r="D41" s="3" t="s">
        <v>741</v>
      </c>
    </row>
    <row r="42" spans="1:4" ht="44" customHeight="1">
      <c r="A42" s="3" t="s">
        <v>860</v>
      </c>
      <c r="B42" s="3" t="s">
        <v>861</v>
      </c>
      <c r="C42" s="7" t="s">
        <v>862</v>
      </c>
      <c r="D42" s="3" t="s">
        <v>741</v>
      </c>
    </row>
    <row r="43" spans="1:4" ht="44" customHeight="1">
      <c r="A43" s="3" t="s">
        <v>863</v>
      </c>
      <c r="B43" s="3" t="s">
        <v>864</v>
      </c>
      <c r="C43" s="7" t="s">
        <v>865</v>
      </c>
      <c r="D43" s="3" t="s">
        <v>741</v>
      </c>
    </row>
    <row r="44" spans="1:4" ht="44" customHeight="1">
      <c r="A44" s="3" t="s">
        <v>866</v>
      </c>
      <c r="B44" s="3" t="s">
        <v>867</v>
      </c>
      <c r="C44" s="7" t="s">
        <v>868</v>
      </c>
      <c r="D44" s="3" t="s">
        <v>741</v>
      </c>
    </row>
    <row r="45" spans="1:4" ht="44" customHeight="1">
      <c r="A45" s="3" t="s">
        <v>869</v>
      </c>
      <c r="B45" s="3" t="s">
        <v>870</v>
      </c>
      <c r="C45" s="7" t="s">
        <v>871</v>
      </c>
      <c r="D45" s="3" t="s">
        <v>741</v>
      </c>
    </row>
    <row r="46" spans="1:4" ht="44" customHeight="1">
      <c r="A46" s="3" t="s">
        <v>872</v>
      </c>
      <c r="B46" s="3" t="s">
        <v>873</v>
      </c>
      <c r="C46" s="7" t="s">
        <v>874</v>
      </c>
      <c r="D46" s="3" t="s">
        <v>741</v>
      </c>
    </row>
    <row r="47" spans="1:4" ht="44" customHeight="1">
      <c r="A47" s="3" t="s">
        <v>875</v>
      </c>
      <c r="B47" s="3" t="s">
        <v>876</v>
      </c>
      <c r="C47" s="7" t="s">
        <v>877</v>
      </c>
      <c r="D47" s="3" t="s">
        <v>741</v>
      </c>
    </row>
    <row r="48" spans="1:4" ht="44" customHeight="1">
      <c r="A48" s="3" t="s">
        <v>878</v>
      </c>
      <c r="B48" s="3" t="s">
        <v>879</v>
      </c>
      <c r="C48" s="7" t="s">
        <v>880</v>
      </c>
      <c r="D48" s="3" t="s">
        <v>741</v>
      </c>
    </row>
    <row r="49" spans="1:4" ht="44" customHeight="1">
      <c r="A49" s="3" t="s">
        <v>881</v>
      </c>
      <c r="B49" s="3" t="s">
        <v>882</v>
      </c>
      <c r="C49" s="7" t="s">
        <v>883</v>
      </c>
      <c r="D49" s="3" t="s">
        <v>741</v>
      </c>
    </row>
    <row r="50" spans="1:4" ht="44" customHeight="1">
      <c r="A50" s="3" t="s">
        <v>884</v>
      </c>
      <c r="B50" s="3" t="s">
        <v>885</v>
      </c>
      <c r="C50" s="7" t="s">
        <v>886</v>
      </c>
      <c r="D50" s="3" t="s">
        <v>741</v>
      </c>
    </row>
    <row r="51" spans="1:4" ht="44" customHeight="1">
      <c r="A51" s="3" t="s">
        <v>887</v>
      </c>
      <c r="B51" s="3" t="s">
        <v>888</v>
      </c>
      <c r="C51" s="7" t="s">
        <v>889</v>
      </c>
      <c r="D51" s="3" t="s">
        <v>741</v>
      </c>
    </row>
    <row r="52" spans="1:4" ht="44" customHeight="1">
      <c r="A52" s="3" t="s">
        <v>890</v>
      </c>
      <c r="B52" s="3" t="s">
        <v>891</v>
      </c>
      <c r="C52" s="7" t="s">
        <v>892</v>
      </c>
      <c r="D52" s="3" t="s">
        <v>741</v>
      </c>
    </row>
    <row r="53" spans="1:4" ht="44" customHeight="1">
      <c r="A53" s="3" t="s">
        <v>893</v>
      </c>
      <c r="B53" s="3" t="s">
        <v>894</v>
      </c>
      <c r="C53" s="7" t="s">
        <v>895</v>
      </c>
      <c r="D53" s="3" t="s">
        <v>741</v>
      </c>
    </row>
    <row r="54" spans="1:4" ht="44" customHeight="1">
      <c r="A54" s="3" t="s">
        <v>896</v>
      </c>
      <c r="B54" s="3" t="s">
        <v>897</v>
      </c>
      <c r="C54" s="7" t="s">
        <v>898</v>
      </c>
      <c r="D54" s="3" t="s">
        <v>741</v>
      </c>
    </row>
    <row r="55" spans="1:4" ht="44" customHeight="1">
      <c r="A55" s="3" t="s">
        <v>899</v>
      </c>
      <c r="B55" s="3" t="s">
        <v>900</v>
      </c>
      <c r="C55" s="7" t="s">
        <v>901</v>
      </c>
      <c r="D55" s="3" t="s">
        <v>741</v>
      </c>
    </row>
    <row r="56" spans="1:4" ht="44" customHeight="1">
      <c r="A56" s="3" t="s">
        <v>902</v>
      </c>
      <c r="B56" s="3" t="s">
        <v>903</v>
      </c>
      <c r="C56" s="7" t="s">
        <v>904</v>
      </c>
      <c r="D56" s="3" t="s">
        <v>741</v>
      </c>
    </row>
    <row r="57" spans="1:4" ht="44" customHeight="1">
      <c r="A57" s="3" t="s">
        <v>905</v>
      </c>
      <c r="B57" s="3" t="s">
        <v>906</v>
      </c>
      <c r="C57" s="7" t="s">
        <v>907</v>
      </c>
      <c r="D57" s="3" t="s">
        <v>741</v>
      </c>
    </row>
    <row r="58" spans="1:4" ht="44" customHeight="1">
      <c r="A58" s="3" t="s">
        <v>908</v>
      </c>
      <c r="B58" s="3" t="s">
        <v>909</v>
      </c>
      <c r="C58" s="7" t="s">
        <v>910</v>
      </c>
      <c r="D58" s="3" t="s">
        <v>741</v>
      </c>
    </row>
    <row r="59" spans="1:4" ht="44" customHeight="1">
      <c r="A59" s="3" t="s">
        <v>911</v>
      </c>
      <c r="B59" s="3" t="s">
        <v>912</v>
      </c>
      <c r="C59" s="7" t="s">
        <v>913</v>
      </c>
      <c r="D59" s="3" t="s">
        <v>741</v>
      </c>
    </row>
    <row r="60" spans="1:4" ht="44" customHeight="1">
      <c r="A60" s="3" t="s">
        <v>914</v>
      </c>
      <c r="B60" s="3" t="s">
        <v>915</v>
      </c>
      <c r="C60" s="7" t="s">
        <v>916</v>
      </c>
      <c r="D60" s="3" t="s">
        <v>741</v>
      </c>
    </row>
    <row r="61" spans="1:4" ht="44" customHeight="1">
      <c r="A61" s="3" t="s">
        <v>917</v>
      </c>
      <c r="B61" s="3" t="s">
        <v>918</v>
      </c>
      <c r="C61" s="7" t="s">
        <v>919</v>
      </c>
      <c r="D61" s="3" t="s">
        <v>741</v>
      </c>
    </row>
    <row r="62" spans="1:4" ht="44" customHeight="1">
      <c r="A62" s="3" t="s">
        <v>920</v>
      </c>
      <c r="B62" s="3" t="s">
        <v>921</v>
      </c>
      <c r="C62" s="7" t="s">
        <v>922</v>
      </c>
      <c r="D62" s="3" t="s">
        <v>741</v>
      </c>
    </row>
  </sheetData>
  <autoFilter ref="A1:D62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</hyperlinks>
  <pageMargins left="0.7" right="0.7" top="0.75" bottom="0.75" header="0.3" footer="0.3"/>
  <pageSetup fitToHeight="0" orientation="landscape"/>
  <headerFooter>
    <oddFooter>&amp;LMonid finance assessment&amp;RPage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Read me</vt:lpstr>
      <vt:lpstr>Assumptions</vt:lpstr>
      <vt:lpstr>Profiles</vt:lpstr>
      <vt:lpstr>Company tools</vt:lpstr>
      <vt:lpstr>Insider tools</vt:lpstr>
      <vt:lpstr>Provider evidence</vt:lpstr>
      <vt:lpstr>Costs</vt:lpstr>
      <vt:lpstr>Budget summary</vt:lpstr>
      <vt:lpstr>Sources</vt:lpstr>
      <vt:lpstr>Assumptions!Print_Titles</vt:lpstr>
      <vt:lpstr>'Budget summary'!Print_Titles</vt:lpstr>
      <vt:lpstr>'Company tools'!Print_Titles</vt:lpstr>
      <vt:lpstr>Costs!Print_Titles</vt:lpstr>
      <vt:lpstr>'Insider tools'!Print_Titles</vt:lpstr>
      <vt:lpstr>Profiles!Print_Titles</vt:lpstr>
      <vt:lpstr>'Provider evidence'!Print_Titles</vt:lpstr>
      <vt:lpstr>Sources!Print_Titles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Monid Finance Tools: Coverage, Quality and Integration Costs</dc:title>
  <dc:creator/>
  <dc:description>Public evidence and editable scenario estimates, not confirmed commercial quotes.</dc:description>
  <cp:lastModifiedBy/>
  <dcterms:created xsi:type="dcterms:W3CDTF">2026-09-09T13:02:09Z</dcterms:created>
  <dcterms:modified xsi:type="dcterms:W3CDTF">2026-09-09T13:02:09Z</dcterms:modified>
</cp:coreProperties>
</file>